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i Xie\Rapafusyn Dropbox\Rui Xie\RuiXieTECAN Data\"/>
    </mc:Choice>
  </mc:AlternateContent>
  <xr:revisionPtr revIDLastSave="0" documentId="13_ncr:1_{61FB05B0-2769-4514-A103-6ECB04B4D89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sult she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2" l="1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D43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Z20" i="2"/>
  <c r="Y20" i="2"/>
  <c r="X20" i="2"/>
  <c r="W20" i="2"/>
</calcChain>
</file>

<file path=xl/sharedStrings.xml><?xml version="1.0" encoding="utf-8"?>
<sst xmlns="http://schemas.openxmlformats.org/spreadsheetml/2006/main" count="234" uniqueCount="103">
  <si>
    <t>Method name: IL-2_CBLB_Jurkat_HTS</t>
  </si>
  <si>
    <t/>
  </si>
  <si>
    <t>Application: SparkControl</t>
  </si>
  <si>
    <t>V3.2</t>
  </si>
  <si>
    <t>Device: Spark</t>
  </si>
  <si>
    <t>Serial number: 2209001884</t>
  </si>
  <si>
    <t>Firmware:</t>
  </si>
  <si>
    <t>LUM:V5.2.4|MTP:V14.3.3|FLUOR:V5.1.4|FLUOR_FP:V5.0.2|FLUOR_BOTTOM:V5.0.2|FLUOR_MEM:V7.1.0|FLUOR_MEX:V7.1.0|INJ:V3.1.1|PODI:V3.0.3</t>
  </si>
  <si>
    <t>Date:</t>
  </si>
  <si>
    <t>2024-01-25</t>
  </si>
  <si>
    <t>Time:</t>
  </si>
  <si>
    <t>1:02 PM</t>
  </si>
  <si>
    <t>System</t>
  </si>
  <si>
    <t>RP2</t>
  </si>
  <si>
    <t>User</t>
  </si>
  <si>
    <t>RP2\Rapafusyn</t>
  </si>
  <si>
    <t>Plate</t>
  </si>
  <si>
    <t>[COS384fw] - Corning 384 Flat White Cat. No.:  3703/3576/3653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</si>
  <si>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</si>
  <si>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</si>
  <si>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</si>
  <si>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</si>
  <si>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</si>
  <si>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</si>
  <si>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</si>
  <si>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</si>
  <si>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Luminescence</t>
  </si>
  <si>
    <t>Label 1</t>
  </si>
  <si>
    <t>Name</t>
  </si>
  <si>
    <t>COS384fw</t>
  </si>
  <si>
    <t>Plate layout</t>
  </si>
  <si>
    <t>Plate area</t>
  </si>
  <si>
    <t>A1-P24</t>
  </si>
  <si>
    <t>Start Time</t>
  </si>
  <si>
    <t>2024-01-25 12:58:04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</si>
  <si>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</si>
  <si>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</si>
  <si>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</si>
  <si>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</si>
  <si>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</si>
  <si>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</si>
  <si>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2024-01-25 12:58:09</t>
  </si>
  <si>
    <t>Mode</t>
  </si>
  <si>
    <t>Attenuation</t>
  </si>
  <si>
    <t>Automatic</t>
  </si>
  <si>
    <t>Attenuation color</t>
  </si>
  <si>
    <t>OD0</t>
  </si>
  <si>
    <t>Settle time [ms]</t>
  </si>
  <si>
    <t>Integration time [ms]</t>
  </si>
  <si>
    <t>Output</t>
  </si>
  <si>
    <t>Counts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</si>
  <si>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</si>
  <si>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</si>
  <si>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</si>
  <si>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</si>
  <si>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</si>
  <si>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</si>
  <si>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</si>
  <si>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</si>
  <si>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</si>
  <si>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</si>
  <si>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</si>
  <si>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</si>
  <si>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</si>
  <si>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</si>
  <si>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</si>
  <si>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</si>
  <si>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</si>
  <si>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</si>
  <si>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</si>
  <si>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</si>
  <si>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</si>
  <si>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</si>
  <si>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</si>
  <si>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</si>
  <si>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</si>
  <si>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</si>
  <si>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</si>
  <si>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</si>
  <si>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</si>
  <si>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</si>
  <si>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</si>
  <si>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</si>
  <si>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</si>
  <si>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</si>
  <si>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</si>
  <si>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</si>
  <si>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</si>
  <si>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</si>
  <si>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</si>
  <si>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</si>
  <si>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</si>
  <si>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</si>
  <si>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</si>
  <si>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2024-01-25 13:02:19</t>
  </si>
  <si>
    <t>Sti</t>
  </si>
  <si>
    <t>Non-Sti</t>
  </si>
  <si>
    <t>Ratio</t>
  </si>
  <si>
    <t>background</t>
  </si>
  <si>
    <t>IN-1</t>
  </si>
  <si>
    <t>IN-3</t>
  </si>
  <si>
    <t>Pharmaron 20uM Plate 2</t>
  </si>
  <si>
    <t>IL-2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</si>
</sst>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0" fontId="2" fillId="3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4" fillId="4" borderId="0" xfId="0" applyNumberFormat="1" applyFont="1" applyFill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2" fontId="0" fillId="5" borderId="0" xfId="0" applyNumberFormat="1" applyFill="1" applyAlignment="1">
      <alignment horizontal="center"/>
    </xf>
    <xf numFmtId="0" fontId="3" fillId="0" borderId="0" xfId="0" applyFont="1" applyAlignment="1">
      <alignment horizontal="left"/>
    </xf>
    <xf numFmtId="0" fontId="5" fillId="6" borderId="0" xfId="0" applyFont="1" applyFill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4"/>
  <sheetViews>
    <sheetView topLeftCell="H37" workbookViewId="0">
      <selection activeCell="A43" sqref="A43:Y59"/>
    </sheetView>
  </sheetViews>
  <sheetFormatPr defaultRowHeight="14.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>
      <c r="A25" s="1" t="s">
        <v>35</v>
      </c>
      <c r="B25" s="1"/>
      <c r="C25" s="1"/>
      <c r="D25" s="1"/>
      <c r="E25" s="1">
        <v>5</v>
      </c>
      <c r="F25" s="1"/>
      <c r="G25" s="1"/>
      <c r="H25" s="1"/>
      <c r="I25" s="1"/>
      <c r="J25" s="1"/>
      <c r="K25" s="1"/>
    </row>
    <row r="26" spans="1:11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25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25">
      <c r="A34" s="1" t="s">
        <v>45</v>
      </c>
      <c r="B34" s="1"/>
      <c r="C34" s="1"/>
      <c r="D34" s="1"/>
      <c r="E34" s="1" t="s">
        <v>46</v>
      </c>
      <c r="F34" s="1"/>
      <c r="G34" s="1"/>
      <c r="H34" s="1"/>
      <c r="I34" s="1"/>
      <c r="J34" s="1"/>
      <c r="K34" s="1"/>
    </row>
    <row r="35" spans="1:25">
      <c r="A35" s="1" t="s">
        <v>47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25">
      <c r="A36" s="1" t="s">
        <v>48</v>
      </c>
      <c r="B36" s="1"/>
      <c r="C36" s="1"/>
      <c r="D36" s="1"/>
      <c r="E36" s="1">
        <v>250</v>
      </c>
      <c r="F36" s="1"/>
      <c r="G36" s="1"/>
      <c r="H36" s="1"/>
      <c r="I36" s="1"/>
      <c r="J36" s="1"/>
      <c r="K36" s="1"/>
    </row>
    <row r="37" spans="1:25">
      <c r="A37" s="1" t="s">
        <v>49</v>
      </c>
      <c r="B37" s="1"/>
      <c r="C37" s="1"/>
      <c r="D37" s="1"/>
      <c r="E37" s="1" t="s">
        <v>50</v>
      </c>
      <c r="F37" s="1"/>
      <c r="G37" s="1"/>
      <c r="H37" s="1"/>
      <c r="I37" s="1"/>
      <c r="J37" s="1"/>
      <c r="K37" s="1"/>
    </row>
    <row r="38" spans="1:25">
      <c r="A38" s="1" t="s">
        <v>51</v>
      </c>
      <c r="B38" s="1"/>
      <c r="C38" s="1"/>
      <c r="D38" s="1"/>
      <c r="E38" s="1" t="s">
        <v>32</v>
      </c>
      <c r="F38" s="1"/>
      <c r="G38" s="1"/>
      <c r="H38" s="1"/>
      <c r="I38" s="1"/>
      <c r="J38" s="1"/>
      <c r="K38" s="1"/>
    </row>
    <row r="39" spans="1: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25">
      <c r="A40" s="1" t="s">
        <v>33</v>
      </c>
      <c r="B40" s="1"/>
      <c r="C40" s="1"/>
      <c r="D40" s="1"/>
      <c r="E40" s="1" t="s">
        <v>41</v>
      </c>
      <c r="F40" s="1"/>
      <c r="G40" s="1"/>
      <c r="H40" s="1"/>
      <c r="I40" s="1"/>
      <c r="J40" s="1"/>
      <c r="K40" s="1"/>
    </row>
    <row r="41" spans="1:25">
      <c r="A41" s="1" t="s">
        <v>52</v>
      </c>
      <c r="B41" s="1"/>
      <c r="C41" s="1"/>
      <c r="D41" s="1"/>
      <c r="E41" s="1">
        <v>25</v>
      </c>
      <c r="F41" s="1"/>
      <c r="G41" s="1"/>
      <c r="H41" s="1"/>
      <c r="I41" s="1"/>
      <c r="J41" s="1"/>
      <c r="K41" s="1"/>
    </row>
    <row r="42" spans="1: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25">
      <c r="A43" s="4" t="s">
        <v>53</v>
      </c>
      <c r="B43" s="4" t="s">
        <v>54</v>
      </c>
      <c r="C43" s="4" t="s">
        <v>55</v>
      </c>
      <c r="D43" s="4" t="s">
        <v>56</v>
      </c>
      <c r="E43" s="4" t="s">
        <v>57</v>
      </c>
      <c r="F43" s="4" t="s">
        <v>58</v>
      </c>
      <c r="G43" s="4" t="s">
        <v>59</v>
      </c>
      <c r="H43" s="4" t="s">
        <v>60</v>
      </c>
      <c r="I43" s="4" t="s">
        <v>61</v>
      </c>
      <c r="J43" s="4" t="s">
        <v>62</v>
      </c>
      <c r="K43" s="4" t="s">
        <v>63</v>
      </c>
      <c r="L43" s="4" t="s">
        <v>64</v>
      </c>
      <c r="M43" s="4" t="s">
        <v>65</v>
      </c>
      <c r="N43" s="4" t="s">
        <v>66</v>
      </c>
      <c r="O43" s="4" t="s">
        <v>67</v>
      </c>
      <c r="P43" s="4" t="s">
        <v>68</v>
      </c>
      <c r="Q43" s="4" t="s">
        <v>69</v>
      </c>
      <c r="R43" s="4" t="s">
        <v>70</v>
      </c>
      <c r="S43" s="4" t="s">
        <v>71</v>
      </c>
      <c r="T43" s="4" t="s">
        <v>72</v>
      </c>
      <c r="U43" s="4" t="s">
        <v>73</v>
      </c>
      <c r="V43" s="4" t="s">
        <v>74</v>
      </c>
      <c r="W43" s="4" t="s">
        <v>75</v>
      </c>
      <c r="X43" s="4" t="s">
        <v>76</v>
      </c>
      <c r="Y43" s="4" t="s">
        <v>77</v>
      </c>
    </row>
    <row r="44" spans="1:25">
      <c r="A44" s="4" t="s">
        <v>78</v>
      </c>
      <c r="B44" s="1">
        <v>2158</v>
      </c>
      <c r="C44" s="1">
        <v>1865</v>
      </c>
      <c r="D44" s="1">
        <v>829</v>
      </c>
      <c r="E44" s="1">
        <v>671</v>
      </c>
      <c r="F44" s="1">
        <v>2841</v>
      </c>
      <c r="G44" s="1">
        <v>2567</v>
      </c>
      <c r="H44" s="1">
        <v>2126</v>
      </c>
      <c r="I44" s="1">
        <v>2384</v>
      </c>
      <c r="J44" s="1">
        <v>1949</v>
      </c>
      <c r="K44" s="1">
        <v>1588</v>
      </c>
      <c r="L44" s="1">
        <v>2157</v>
      </c>
      <c r="M44" s="1">
        <v>2199</v>
      </c>
      <c r="N44" s="1">
        <v>1921</v>
      </c>
      <c r="O44" s="1">
        <v>3350</v>
      </c>
      <c r="P44" s="1">
        <v>1950</v>
      </c>
      <c r="Q44" s="1">
        <v>1705</v>
      </c>
      <c r="R44" s="1">
        <v>2480</v>
      </c>
      <c r="S44" s="1">
        <v>3120</v>
      </c>
      <c r="T44" s="1">
        <v>2479</v>
      </c>
      <c r="U44" s="1">
        <v>1801</v>
      </c>
      <c r="V44" s="1">
        <v>1963</v>
      </c>
      <c r="W44" s="1">
        <v>1948</v>
      </c>
      <c r="X44" s="1">
        <v>413</v>
      </c>
      <c r="Y44" s="1">
        <v>126135</v>
      </c>
    </row>
    <row r="45" spans="1:25">
      <c r="A45" s="4" t="s">
        <v>79</v>
      </c>
      <c r="B45" s="1">
        <v>2587</v>
      </c>
      <c r="C45" s="1">
        <v>2184</v>
      </c>
      <c r="D45" s="1">
        <v>1208</v>
      </c>
      <c r="E45" s="1">
        <v>2614</v>
      </c>
      <c r="F45" s="1">
        <v>1622</v>
      </c>
      <c r="G45" s="1">
        <v>1626</v>
      </c>
      <c r="H45" s="1">
        <v>1095</v>
      </c>
      <c r="I45" s="1">
        <v>2604</v>
      </c>
      <c r="J45" s="1">
        <v>1210</v>
      </c>
      <c r="K45" s="1">
        <v>1913</v>
      </c>
      <c r="L45" s="1">
        <v>4188</v>
      </c>
      <c r="M45" s="1">
        <v>1525</v>
      </c>
      <c r="N45" s="1">
        <v>1960</v>
      </c>
      <c r="O45" s="1">
        <v>484</v>
      </c>
      <c r="P45" s="1">
        <v>2844</v>
      </c>
      <c r="Q45" s="1">
        <v>3229</v>
      </c>
      <c r="R45" s="1">
        <v>1853</v>
      </c>
      <c r="S45" s="1">
        <v>1352</v>
      </c>
      <c r="T45" s="1">
        <v>1366</v>
      </c>
      <c r="U45" s="1">
        <v>1435</v>
      </c>
      <c r="V45" s="1">
        <v>1600</v>
      </c>
      <c r="W45" s="1">
        <v>1706</v>
      </c>
      <c r="X45" s="1">
        <v>433</v>
      </c>
      <c r="Y45" s="1">
        <v>125531</v>
      </c>
    </row>
    <row r="46" spans="1:25">
      <c r="A46" s="4" t="s">
        <v>80</v>
      </c>
      <c r="B46" s="1">
        <v>107450</v>
      </c>
      <c r="C46" s="1">
        <v>103316</v>
      </c>
      <c r="D46" s="1">
        <v>681</v>
      </c>
      <c r="E46" s="1">
        <v>666</v>
      </c>
      <c r="F46" s="1">
        <v>327</v>
      </c>
      <c r="G46" s="1">
        <v>2329</v>
      </c>
      <c r="H46" s="1">
        <v>1560</v>
      </c>
      <c r="I46" s="1">
        <v>871</v>
      </c>
      <c r="J46" s="1">
        <v>624</v>
      </c>
      <c r="K46" s="1">
        <v>743</v>
      </c>
      <c r="L46" s="1">
        <v>4522</v>
      </c>
      <c r="M46" s="1">
        <v>3853</v>
      </c>
      <c r="N46" s="1">
        <v>2565</v>
      </c>
      <c r="O46" s="1">
        <v>1342</v>
      </c>
      <c r="P46" s="1">
        <v>3335</v>
      </c>
      <c r="Q46" s="1">
        <v>1024</v>
      </c>
      <c r="R46" s="1">
        <v>1765</v>
      </c>
      <c r="S46" s="1">
        <v>825</v>
      </c>
      <c r="T46" s="1">
        <v>1996</v>
      </c>
      <c r="U46" s="1">
        <v>1475</v>
      </c>
      <c r="V46" s="1">
        <v>1774</v>
      </c>
      <c r="W46" s="1">
        <v>1621</v>
      </c>
      <c r="X46" s="1">
        <v>376</v>
      </c>
      <c r="Y46" s="1">
        <v>42643</v>
      </c>
    </row>
    <row r="47" spans="1:25">
      <c r="A47" s="4" t="s">
        <v>81</v>
      </c>
      <c r="B47" s="1">
        <v>99143</v>
      </c>
      <c r="C47" s="1">
        <v>102494</v>
      </c>
      <c r="D47" s="1">
        <v>763</v>
      </c>
      <c r="E47" s="1">
        <v>1533</v>
      </c>
      <c r="F47" s="1">
        <v>2338</v>
      </c>
      <c r="G47" s="1">
        <v>1809</v>
      </c>
      <c r="H47" s="1">
        <v>2195</v>
      </c>
      <c r="I47" s="1">
        <v>1825</v>
      </c>
      <c r="J47" s="1">
        <v>1735</v>
      </c>
      <c r="K47" s="1">
        <v>1713</v>
      </c>
      <c r="L47" s="1">
        <v>1116</v>
      </c>
      <c r="M47" s="1">
        <v>1672</v>
      </c>
      <c r="N47" s="1">
        <v>1474</v>
      </c>
      <c r="O47" s="1">
        <v>1665</v>
      </c>
      <c r="P47" s="1">
        <v>413</v>
      </c>
      <c r="Q47" s="1">
        <v>1520</v>
      </c>
      <c r="R47" s="1">
        <v>1405</v>
      </c>
      <c r="S47" s="1">
        <v>1482</v>
      </c>
      <c r="T47" s="1">
        <v>1579</v>
      </c>
      <c r="U47" s="1">
        <v>1594</v>
      </c>
      <c r="V47" s="1">
        <v>1856</v>
      </c>
      <c r="W47" s="1">
        <v>2033</v>
      </c>
      <c r="X47" s="1">
        <v>395</v>
      </c>
      <c r="Y47" s="1">
        <v>42934</v>
      </c>
    </row>
    <row r="48" spans="1:25">
      <c r="A48" s="4" t="s">
        <v>82</v>
      </c>
      <c r="B48" s="1">
        <v>70679</v>
      </c>
      <c r="C48" s="1">
        <v>99621</v>
      </c>
      <c r="D48" s="1">
        <v>2152</v>
      </c>
      <c r="E48" s="1">
        <v>1334</v>
      </c>
      <c r="F48" s="1">
        <v>1407</v>
      </c>
      <c r="G48" s="1">
        <v>1852</v>
      </c>
      <c r="H48" s="1">
        <v>2688</v>
      </c>
      <c r="I48" s="1">
        <v>336</v>
      </c>
      <c r="J48" s="1">
        <v>2508</v>
      </c>
      <c r="K48" s="1">
        <v>1614</v>
      </c>
      <c r="L48" s="1">
        <v>2697</v>
      </c>
      <c r="M48" s="1">
        <v>1871</v>
      </c>
      <c r="N48" s="1">
        <v>1511</v>
      </c>
      <c r="O48" s="1">
        <v>997</v>
      </c>
      <c r="P48" s="1">
        <v>1964</v>
      </c>
      <c r="Q48" s="1">
        <v>443</v>
      </c>
      <c r="R48" s="1">
        <v>2610</v>
      </c>
      <c r="S48" s="1">
        <v>1464</v>
      </c>
      <c r="T48" s="1">
        <v>1406</v>
      </c>
      <c r="U48" s="1">
        <v>1718</v>
      </c>
      <c r="V48" s="1">
        <v>590</v>
      </c>
      <c r="W48" s="1">
        <v>555</v>
      </c>
      <c r="X48" s="1">
        <v>300</v>
      </c>
      <c r="Y48" s="1">
        <v>15216</v>
      </c>
    </row>
    <row r="49" spans="1:25">
      <c r="A49" s="4" t="s">
        <v>83</v>
      </c>
      <c r="B49" s="1">
        <v>60084</v>
      </c>
      <c r="C49" s="1">
        <v>100315</v>
      </c>
      <c r="D49" s="1">
        <v>1887</v>
      </c>
      <c r="E49" s="1">
        <v>1804</v>
      </c>
      <c r="F49" s="1">
        <v>1204</v>
      </c>
      <c r="G49" s="1">
        <v>1742</v>
      </c>
      <c r="H49" s="1">
        <v>1121</v>
      </c>
      <c r="I49" s="1">
        <v>1677</v>
      </c>
      <c r="J49" s="1">
        <v>1823</v>
      </c>
      <c r="K49" s="1">
        <v>1673</v>
      </c>
      <c r="L49" s="1">
        <v>1038</v>
      </c>
      <c r="M49" s="1">
        <v>1587</v>
      </c>
      <c r="N49" s="1">
        <v>1223</v>
      </c>
      <c r="O49" s="1">
        <v>1638</v>
      </c>
      <c r="P49" s="1">
        <v>1831</v>
      </c>
      <c r="Q49" s="1">
        <v>1598</v>
      </c>
      <c r="R49" s="1">
        <v>3206</v>
      </c>
      <c r="S49" s="1">
        <v>1325</v>
      </c>
      <c r="T49" s="1">
        <v>1333</v>
      </c>
      <c r="U49" s="1">
        <v>1623</v>
      </c>
      <c r="V49" s="1">
        <v>2256</v>
      </c>
      <c r="W49" s="1">
        <v>1673</v>
      </c>
      <c r="X49" s="1">
        <v>413</v>
      </c>
      <c r="Y49" s="1">
        <v>14908</v>
      </c>
    </row>
    <row r="50" spans="1:25">
      <c r="A50" s="4" t="s">
        <v>84</v>
      </c>
      <c r="B50" s="1">
        <v>36673</v>
      </c>
      <c r="C50" s="1">
        <v>55316</v>
      </c>
      <c r="D50" s="1">
        <v>522</v>
      </c>
      <c r="E50" s="1">
        <v>529</v>
      </c>
      <c r="F50" s="1">
        <v>1820</v>
      </c>
      <c r="G50" s="1">
        <v>1511</v>
      </c>
      <c r="H50" s="1">
        <v>2270</v>
      </c>
      <c r="I50" s="1">
        <v>1767</v>
      </c>
      <c r="J50" s="1">
        <v>2479</v>
      </c>
      <c r="K50" s="1">
        <v>1287</v>
      </c>
      <c r="L50" s="1">
        <v>2301</v>
      </c>
      <c r="M50" s="1">
        <v>1370</v>
      </c>
      <c r="N50" s="1">
        <v>1344</v>
      </c>
      <c r="O50" s="1">
        <v>1168</v>
      </c>
      <c r="P50" s="1">
        <v>2595</v>
      </c>
      <c r="Q50" s="1">
        <v>545</v>
      </c>
      <c r="R50" s="1">
        <v>1993</v>
      </c>
      <c r="S50" s="1">
        <v>1065</v>
      </c>
      <c r="T50" s="1">
        <v>1243</v>
      </c>
      <c r="U50" s="1">
        <v>844</v>
      </c>
      <c r="V50" s="1">
        <v>2000</v>
      </c>
      <c r="W50" s="1">
        <v>2659</v>
      </c>
      <c r="X50" s="1">
        <v>358</v>
      </c>
      <c r="Y50" s="1">
        <v>5415</v>
      </c>
    </row>
    <row r="51" spans="1:25">
      <c r="A51" s="4" t="s">
        <v>85</v>
      </c>
      <c r="B51" s="1">
        <v>22519</v>
      </c>
      <c r="C51" s="1">
        <v>51116</v>
      </c>
      <c r="D51" s="1">
        <v>1315</v>
      </c>
      <c r="E51" s="1">
        <v>1578</v>
      </c>
      <c r="F51" s="1">
        <v>1681</v>
      </c>
      <c r="G51" s="1">
        <v>1644</v>
      </c>
      <c r="H51" s="1">
        <v>3615</v>
      </c>
      <c r="I51" s="1">
        <v>1360</v>
      </c>
      <c r="J51" s="1">
        <v>390</v>
      </c>
      <c r="K51" s="1">
        <v>1646</v>
      </c>
      <c r="L51" s="1">
        <v>3953</v>
      </c>
      <c r="M51" s="1">
        <v>1738</v>
      </c>
      <c r="N51" s="1">
        <v>1338</v>
      </c>
      <c r="O51" s="1">
        <v>1268</v>
      </c>
      <c r="P51" s="1">
        <v>2608</v>
      </c>
      <c r="Q51" s="1">
        <v>1464</v>
      </c>
      <c r="R51" s="1">
        <v>1939</v>
      </c>
      <c r="S51" s="1">
        <v>1508</v>
      </c>
      <c r="T51" s="1">
        <v>1913</v>
      </c>
      <c r="U51" s="1">
        <v>1661</v>
      </c>
      <c r="V51" s="1">
        <v>550</v>
      </c>
      <c r="W51" s="1">
        <v>1664</v>
      </c>
      <c r="X51" s="1">
        <v>386</v>
      </c>
      <c r="Y51" s="1">
        <v>5074</v>
      </c>
    </row>
    <row r="52" spans="1:25">
      <c r="A52" s="4" t="s">
        <v>86</v>
      </c>
      <c r="B52" s="1">
        <v>12147</v>
      </c>
      <c r="C52" s="1">
        <v>28100</v>
      </c>
      <c r="D52" s="1">
        <v>1652</v>
      </c>
      <c r="E52" s="1">
        <v>443</v>
      </c>
      <c r="F52" s="1">
        <v>1930</v>
      </c>
      <c r="G52" s="1">
        <v>2067</v>
      </c>
      <c r="H52" s="1">
        <v>1511</v>
      </c>
      <c r="I52" s="1">
        <v>555</v>
      </c>
      <c r="J52" s="1">
        <v>2049</v>
      </c>
      <c r="K52" s="1">
        <v>421</v>
      </c>
      <c r="L52" s="1">
        <v>1489</v>
      </c>
      <c r="M52" s="1">
        <v>413</v>
      </c>
      <c r="N52" s="1">
        <v>1927</v>
      </c>
      <c r="O52" s="1">
        <v>2103</v>
      </c>
      <c r="P52" s="1">
        <v>947</v>
      </c>
      <c r="Q52" s="1">
        <v>1122</v>
      </c>
      <c r="R52" s="1">
        <v>770</v>
      </c>
      <c r="S52" s="1">
        <v>1866</v>
      </c>
      <c r="T52" s="1">
        <v>1373</v>
      </c>
      <c r="U52" s="1">
        <v>674</v>
      </c>
      <c r="V52" s="1">
        <v>1580</v>
      </c>
      <c r="W52" s="1">
        <v>504</v>
      </c>
      <c r="X52" s="1">
        <v>363</v>
      </c>
      <c r="Y52" s="1">
        <v>2035</v>
      </c>
    </row>
    <row r="53" spans="1:25">
      <c r="A53" s="4" t="s">
        <v>87</v>
      </c>
      <c r="B53" s="1">
        <v>9509</v>
      </c>
      <c r="C53" s="1">
        <v>13649</v>
      </c>
      <c r="D53" s="1">
        <v>1980</v>
      </c>
      <c r="E53" s="1">
        <v>1868</v>
      </c>
      <c r="F53" s="1">
        <v>910</v>
      </c>
      <c r="G53" s="1">
        <v>1751</v>
      </c>
      <c r="H53" s="1">
        <v>1403</v>
      </c>
      <c r="I53" s="1">
        <v>2135</v>
      </c>
      <c r="J53" s="1">
        <v>1869</v>
      </c>
      <c r="K53" s="1">
        <v>1541</v>
      </c>
      <c r="L53" s="1">
        <v>1301</v>
      </c>
      <c r="M53" s="1">
        <v>1597</v>
      </c>
      <c r="N53" s="1">
        <v>2014</v>
      </c>
      <c r="O53" s="1">
        <v>1438</v>
      </c>
      <c r="P53" s="1">
        <v>1585</v>
      </c>
      <c r="Q53" s="1">
        <v>1423</v>
      </c>
      <c r="R53" s="1">
        <v>1851</v>
      </c>
      <c r="S53" s="1">
        <v>1550</v>
      </c>
      <c r="T53" s="1">
        <v>1626</v>
      </c>
      <c r="U53" s="1">
        <v>1662</v>
      </c>
      <c r="V53" s="1">
        <v>1345</v>
      </c>
      <c r="W53" s="1">
        <v>1784</v>
      </c>
      <c r="X53" s="1">
        <v>440</v>
      </c>
      <c r="Y53" s="1">
        <v>2060</v>
      </c>
    </row>
    <row r="54" spans="1:25">
      <c r="A54" s="4" t="s">
        <v>88</v>
      </c>
      <c r="B54" s="1">
        <v>4699</v>
      </c>
      <c r="C54" s="1">
        <v>5531</v>
      </c>
      <c r="D54" s="1">
        <v>1209</v>
      </c>
      <c r="E54" s="1">
        <v>597</v>
      </c>
      <c r="F54" s="1">
        <v>1262</v>
      </c>
      <c r="G54" s="1">
        <v>1710</v>
      </c>
      <c r="H54" s="1">
        <v>1527</v>
      </c>
      <c r="I54" s="1">
        <v>2334</v>
      </c>
      <c r="J54" s="1">
        <v>1958</v>
      </c>
      <c r="K54" s="1">
        <v>1921</v>
      </c>
      <c r="L54" s="1">
        <v>464</v>
      </c>
      <c r="M54" s="1">
        <v>1705</v>
      </c>
      <c r="N54" s="1">
        <v>554</v>
      </c>
      <c r="O54" s="1">
        <v>1202</v>
      </c>
      <c r="P54" s="1">
        <v>1737</v>
      </c>
      <c r="Q54" s="1">
        <v>1583</v>
      </c>
      <c r="R54" s="1">
        <v>1473</v>
      </c>
      <c r="S54" s="1">
        <v>2021</v>
      </c>
      <c r="T54" s="1">
        <v>2822</v>
      </c>
      <c r="U54" s="1">
        <v>1729</v>
      </c>
      <c r="V54" s="1">
        <v>2088</v>
      </c>
      <c r="W54" s="1">
        <v>385</v>
      </c>
      <c r="X54" s="1">
        <v>428</v>
      </c>
      <c r="Y54" s="1">
        <v>921</v>
      </c>
    </row>
    <row r="55" spans="1:25">
      <c r="A55" s="4" t="s">
        <v>89</v>
      </c>
      <c r="B55" s="1">
        <v>3246</v>
      </c>
      <c r="C55" s="1">
        <v>3833</v>
      </c>
      <c r="D55" s="1">
        <v>1764</v>
      </c>
      <c r="E55" s="1">
        <v>2011</v>
      </c>
      <c r="F55" s="1">
        <v>3875</v>
      </c>
      <c r="G55" s="1">
        <v>1703</v>
      </c>
      <c r="H55" s="1">
        <v>1494</v>
      </c>
      <c r="I55" s="1">
        <v>1613</v>
      </c>
      <c r="J55" s="1">
        <v>622</v>
      </c>
      <c r="K55" s="1">
        <v>1638</v>
      </c>
      <c r="L55" s="1">
        <v>1256</v>
      </c>
      <c r="M55" s="1">
        <v>1634</v>
      </c>
      <c r="N55" s="1">
        <v>1404</v>
      </c>
      <c r="O55" s="1">
        <v>1374</v>
      </c>
      <c r="P55" s="1">
        <v>2348</v>
      </c>
      <c r="Q55" s="1">
        <v>1915</v>
      </c>
      <c r="R55" s="1">
        <v>2418</v>
      </c>
      <c r="S55" s="1">
        <v>1435</v>
      </c>
      <c r="T55" s="1">
        <v>1125</v>
      </c>
      <c r="U55" s="1">
        <v>1686</v>
      </c>
      <c r="V55" s="1">
        <v>3583</v>
      </c>
      <c r="W55" s="1">
        <v>1628</v>
      </c>
      <c r="X55" s="1">
        <v>409</v>
      </c>
      <c r="Y55" s="1">
        <v>934</v>
      </c>
    </row>
    <row r="56" spans="1:25">
      <c r="A56" s="4" t="s">
        <v>90</v>
      </c>
      <c r="B56" s="1">
        <v>2906</v>
      </c>
      <c r="C56" s="1">
        <v>2303</v>
      </c>
      <c r="D56" s="1">
        <v>1951</v>
      </c>
      <c r="E56" s="1">
        <v>1665</v>
      </c>
      <c r="F56" s="1">
        <v>1162</v>
      </c>
      <c r="G56" s="1">
        <v>1144</v>
      </c>
      <c r="H56" s="1">
        <v>1365</v>
      </c>
      <c r="I56" s="1">
        <v>2137</v>
      </c>
      <c r="J56" s="1">
        <v>1270</v>
      </c>
      <c r="K56" s="1">
        <v>1263</v>
      </c>
      <c r="L56" s="1">
        <v>1255</v>
      </c>
      <c r="M56" s="1">
        <v>1572</v>
      </c>
      <c r="N56" s="1">
        <v>1617</v>
      </c>
      <c r="O56" s="1">
        <v>1215</v>
      </c>
      <c r="P56" s="1">
        <v>1527</v>
      </c>
      <c r="Q56" s="1">
        <v>1764</v>
      </c>
      <c r="R56" s="1">
        <v>1499</v>
      </c>
      <c r="S56" s="1">
        <v>1600</v>
      </c>
      <c r="T56" s="1">
        <v>1277</v>
      </c>
      <c r="U56" s="1">
        <v>1279</v>
      </c>
      <c r="V56" s="1">
        <v>3532</v>
      </c>
      <c r="W56" s="1">
        <v>1442</v>
      </c>
      <c r="X56" s="1">
        <v>430</v>
      </c>
      <c r="Y56" s="1">
        <v>570</v>
      </c>
    </row>
    <row r="57" spans="1:25">
      <c r="A57" s="4" t="s">
        <v>91</v>
      </c>
      <c r="B57" s="1">
        <v>2211</v>
      </c>
      <c r="C57" s="1">
        <v>2320</v>
      </c>
      <c r="D57" s="1">
        <v>3474</v>
      </c>
      <c r="E57" s="1">
        <v>1795</v>
      </c>
      <c r="F57" s="1">
        <v>559</v>
      </c>
      <c r="G57" s="1">
        <v>1677</v>
      </c>
      <c r="H57" s="1">
        <v>1397</v>
      </c>
      <c r="I57" s="1">
        <v>1802</v>
      </c>
      <c r="J57" s="1">
        <v>589</v>
      </c>
      <c r="K57" s="1">
        <v>1645</v>
      </c>
      <c r="L57" s="1">
        <v>1902</v>
      </c>
      <c r="M57" s="1">
        <v>1697</v>
      </c>
      <c r="N57" s="1">
        <v>1718</v>
      </c>
      <c r="O57" s="1">
        <v>1441</v>
      </c>
      <c r="P57" s="1">
        <v>1319</v>
      </c>
      <c r="Q57" s="1">
        <v>1707</v>
      </c>
      <c r="R57" s="1">
        <v>1222</v>
      </c>
      <c r="S57" s="1">
        <v>1464</v>
      </c>
      <c r="T57" s="1">
        <v>1038</v>
      </c>
      <c r="U57" s="1">
        <v>1908</v>
      </c>
      <c r="V57" s="1">
        <v>1739</v>
      </c>
      <c r="W57" s="1">
        <v>1986</v>
      </c>
      <c r="X57" s="1">
        <v>485</v>
      </c>
      <c r="Y57" s="1">
        <v>536</v>
      </c>
    </row>
    <row r="58" spans="1:25">
      <c r="A58" s="4" t="s">
        <v>92</v>
      </c>
      <c r="B58" s="1">
        <v>2447</v>
      </c>
      <c r="C58" s="1">
        <v>1823</v>
      </c>
      <c r="D58" s="1">
        <v>2224</v>
      </c>
      <c r="E58" s="1">
        <v>2095</v>
      </c>
      <c r="F58" s="1">
        <v>382</v>
      </c>
      <c r="G58" s="1">
        <v>3009</v>
      </c>
      <c r="H58" s="1">
        <v>340</v>
      </c>
      <c r="I58" s="1">
        <v>2498</v>
      </c>
      <c r="J58" s="1">
        <v>2980</v>
      </c>
      <c r="K58" s="1">
        <v>889</v>
      </c>
      <c r="L58" s="1">
        <v>936</v>
      </c>
      <c r="M58" s="1">
        <v>1963</v>
      </c>
      <c r="N58" s="1">
        <v>2091</v>
      </c>
      <c r="O58" s="1">
        <v>1571</v>
      </c>
      <c r="P58" s="1">
        <v>1564</v>
      </c>
      <c r="Q58" s="1">
        <v>1643</v>
      </c>
      <c r="R58" s="1">
        <v>2037</v>
      </c>
      <c r="S58" s="1">
        <v>1574</v>
      </c>
      <c r="T58" s="1">
        <v>1572</v>
      </c>
      <c r="U58" s="1">
        <v>1493</v>
      </c>
      <c r="V58" s="1">
        <v>3654</v>
      </c>
      <c r="W58" s="1">
        <v>2359</v>
      </c>
      <c r="X58" s="1">
        <v>407</v>
      </c>
      <c r="Y58" s="1">
        <v>311</v>
      </c>
    </row>
    <row r="59" spans="1:25">
      <c r="A59" s="4" t="s">
        <v>93</v>
      </c>
      <c r="B59" s="1">
        <v>2735</v>
      </c>
      <c r="C59" s="1">
        <v>2128</v>
      </c>
      <c r="D59" s="1">
        <v>2083</v>
      </c>
      <c r="E59" s="1">
        <v>1916</v>
      </c>
      <c r="F59" s="1">
        <v>2272</v>
      </c>
      <c r="G59" s="1">
        <v>1864</v>
      </c>
      <c r="H59" s="1">
        <v>2615</v>
      </c>
      <c r="I59" s="1">
        <v>2032</v>
      </c>
      <c r="J59" s="1">
        <v>345</v>
      </c>
      <c r="K59" s="1">
        <v>1805</v>
      </c>
      <c r="L59" s="1">
        <v>1678</v>
      </c>
      <c r="M59" s="1">
        <v>1905</v>
      </c>
      <c r="N59" s="1">
        <v>1614</v>
      </c>
      <c r="O59" s="1">
        <v>1895</v>
      </c>
      <c r="P59" s="1">
        <v>2145</v>
      </c>
      <c r="Q59" s="1">
        <v>1732</v>
      </c>
      <c r="R59" s="1">
        <v>5459</v>
      </c>
      <c r="S59" s="1">
        <v>1881</v>
      </c>
      <c r="T59" s="1">
        <v>3166</v>
      </c>
      <c r="U59" s="1">
        <v>2049</v>
      </c>
      <c r="V59" s="1">
        <v>2385</v>
      </c>
      <c r="W59" s="1">
        <v>2051</v>
      </c>
      <c r="X59" s="1">
        <v>495</v>
      </c>
      <c r="Y59" s="1">
        <v>311</v>
      </c>
    </row>
    <row r="60" spans="1: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25">
      <c r="A62" s="1" t="s">
        <v>40</v>
      </c>
      <c r="B62" s="1"/>
      <c r="C62" s="1"/>
      <c r="D62" s="1"/>
      <c r="E62" s="1" t="s">
        <v>94</v>
      </c>
      <c r="F62" s="1"/>
      <c r="G62" s="1"/>
      <c r="H62" s="1"/>
      <c r="I62" s="1"/>
      <c r="J62" s="1"/>
      <c r="K62" s="1"/>
    </row>
    <row r="63" spans="1: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</sheetData>
  <conditionalFormatting sqref="D44:W5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6D6A-268F-464F-84F0-661AC46EA11D}">
  <dimension ref="A1:Z58"/>
  <sheetViews>
    <sheetView tabSelected="1" topLeftCell="A39" workbookViewId="0">
      <selection activeCell="D43" sqref="D43:W58"/>
    </sheetView>
  </sheetViews>
  <sheetFormatPr defaultRowHeight="14.5"/>
  <sheetData>
    <row r="1" spans="1:25">
      <c r="A1" s="4" t="s">
        <v>53</v>
      </c>
      <c r="B1" s="4" t="s">
        <v>54</v>
      </c>
      <c r="C1" s="4" t="s">
        <v>55</v>
      </c>
      <c r="D1" s="4" t="s">
        <v>56</v>
      </c>
      <c r="E1" s="4" t="s">
        <v>57</v>
      </c>
      <c r="F1" s="4" t="s">
        <v>58</v>
      </c>
      <c r="G1" s="4" t="s">
        <v>59</v>
      </c>
      <c r="H1" s="4" t="s">
        <v>60</v>
      </c>
      <c r="I1" s="4" t="s">
        <v>61</v>
      </c>
      <c r="J1" s="4" t="s">
        <v>62</v>
      </c>
      <c r="K1" s="4" t="s">
        <v>63</v>
      </c>
      <c r="L1" s="4" t="s">
        <v>64</v>
      </c>
      <c r="M1" s="4" t="s">
        <v>65</v>
      </c>
      <c r="N1" s="4" t="s">
        <v>66</v>
      </c>
      <c r="O1" s="4" t="s">
        <v>67</v>
      </c>
      <c r="P1" s="4" t="s">
        <v>68</v>
      </c>
      <c r="Q1" s="4" t="s">
        <v>69</v>
      </c>
      <c r="R1" s="4" t="s">
        <v>70</v>
      </c>
      <c r="S1" s="4" t="s">
        <v>71</v>
      </c>
      <c r="T1" s="4" t="s">
        <v>72</v>
      </c>
      <c r="U1" s="4" t="s">
        <v>73</v>
      </c>
      <c r="V1" s="4" t="s">
        <v>74</v>
      </c>
      <c r="W1" s="4" t="s">
        <v>75</v>
      </c>
      <c r="X1" s="4" t="s">
        <v>76</v>
      </c>
      <c r="Y1" s="4" t="s">
        <v>77</v>
      </c>
    </row>
    <row r="2" spans="1:25">
      <c r="A2" s="4" t="s">
        <v>78</v>
      </c>
      <c r="B2" s="1">
        <v>2158</v>
      </c>
      <c r="C2" s="1">
        <v>1865</v>
      </c>
      <c r="D2" s="1">
        <v>829</v>
      </c>
      <c r="E2" s="1">
        <v>671</v>
      </c>
      <c r="F2" s="1">
        <v>2841</v>
      </c>
      <c r="G2" s="1">
        <v>2567</v>
      </c>
      <c r="H2" s="1">
        <v>2126</v>
      </c>
      <c r="I2" s="1">
        <v>2384</v>
      </c>
      <c r="J2" s="1">
        <v>1949</v>
      </c>
      <c r="K2" s="1">
        <v>1588</v>
      </c>
      <c r="L2" s="1">
        <v>2157</v>
      </c>
      <c r="M2" s="1">
        <v>2199</v>
      </c>
      <c r="N2" s="1">
        <v>1921</v>
      </c>
      <c r="O2" s="1">
        <v>3350</v>
      </c>
      <c r="P2" s="1">
        <v>1950</v>
      </c>
      <c r="Q2" s="1">
        <v>1705</v>
      </c>
      <c r="R2" s="1">
        <v>2480</v>
      </c>
      <c r="S2" s="1">
        <v>3120</v>
      </c>
      <c r="T2" s="1">
        <v>2479</v>
      </c>
      <c r="U2" s="1">
        <v>1801</v>
      </c>
      <c r="V2" s="1">
        <v>1963</v>
      </c>
      <c r="W2" s="1">
        <v>1948</v>
      </c>
      <c r="X2" s="1">
        <v>413</v>
      </c>
      <c r="Y2" s="1">
        <v>126135</v>
      </c>
    </row>
    <row r="3" spans="1:25">
      <c r="A3" s="4" t="s">
        <v>79</v>
      </c>
      <c r="B3" s="1">
        <v>2587</v>
      </c>
      <c r="C3" s="1">
        <v>2184</v>
      </c>
      <c r="D3" s="1">
        <v>1208</v>
      </c>
      <c r="E3" s="1">
        <v>2614</v>
      </c>
      <c r="F3" s="1">
        <v>1622</v>
      </c>
      <c r="G3" s="1">
        <v>1626</v>
      </c>
      <c r="H3" s="1">
        <v>1095</v>
      </c>
      <c r="I3" s="1">
        <v>2604</v>
      </c>
      <c r="J3" s="1">
        <v>1210</v>
      </c>
      <c r="K3" s="1">
        <v>1913</v>
      </c>
      <c r="L3" s="1">
        <v>4188</v>
      </c>
      <c r="M3" s="1">
        <v>1525</v>
      </c>
      <c r="N3" s="1">
        <v>1960</v>
      </c>
      <c r="O3" s="1">
        <v>484</v>
      </c>
      <c r="P3" s="1">
        <v>2844</v>
      </c>
      <c r="Q3" s="1">
        <v>3229</v>
      </c>
      <c r="R3" s="1">
        <v>1853</v>
      </c>
      <c r="S3" s="1">
        <v>1352</v>
      </c>
      <c r="T3" s="1">
        <v>1366</v>
      </c>
      <c r="U3" s="1">
        <v>1435</v>
      </c>
      <c r="V3" s="1">
        <v>1600</v>
      </c>
      <c r="W3" s="1">
        <v>1706</v>
      </c>
      <c r="X3" s="1">
        <v>433</v>
      </c>
      <c r="Y3" s="1">
        <v>125531</v>
      </c>
    </row>
    <row r="4" spans="1:25">
      <c r="A4" s="4" t="s">
        <v>80</v>
      </c>
      <c r="B4" s="1">
        <v>107450</v>
      </c>
      <c r="C4" s="1">
        <v>103316</v>
      </c>
      <c r="D4" s="1">
        <v>681</v>
      </c>
      <c r="E4" s="1">
        <v>666</v>
      </c>
      <c r="F4" s="1">
        <v>327</v>
      </c>
      <c r="G4" s="1">
        <v>2329</v>
      </c>
      <c r="H4" s="1">
        <v>1560</v>
      </c>
      <c r="I4" s="1">
        <v>871</v>
      </c>
      <c r="J4" s="1">
        <v>624</v>
      </c>
      <c r="K4" s="1">
        <v>743</v>
      </c>
      <c r="L4" s="1">
        <v>4522</v>
      </c>
      <c r="M4" s="1">
        <v>3853</v>
      </c>
      <c r="N4" s="1">
        <v>2565</v>
      </c>
      <c r="O4" s="1">
        <v>1342</v>
      </c>
      <c r="P4" s="1">
        <v>3335</v>
      </c>
      <c r="Q4" s="1">
        <v>1024</v>
      </c>
      <c r="R4" s="1">
        <v>1765</v>
      </c>
      <c r="S4" s="1">
        <v>825</v>
      </c>
      <c r="T4" s="1">
        <v>1996</v>
      </c>
      <c r="U4" s="1">
        <v>1475</v>
      </c>
      <c r="V4" s="1">
        <v>1774</v>
      </c>
      <c r="W4" s="1">
        <v>1621</v>
      </c>
      <c r="X4" s="1">
        <v>376</v>
      </c>
      <c r="Y4" s="1">
        <v>42643</v>
      </c>
    </row>
    <row r="5" spans="1:25">
      <c r="A5" s="4" t="s">
        <v>81</v>
      </c>
      <c r="B5" s="1">
        <v>99143</v>
      </c>
      <c r="C5" s="1">
        <v>102494</v>
      </c>
      <c r="D5" s="1">
        <v>763</v>
      </c>
      <c r="E5" s="1">
        <v>1533</v>
      </c>
      <c r="F5" s="1">
        <v>2338</v>
      </c>
      <c r="G5" s="1">
        <v>1809</v>
      </c>
      <c r="H5" s="1">
        <v>2195</v>
      </c>
      <c r="I5" s="1">
        <v>1825</v>
      </c>
      <c r="J5" s="1">
        <v>1735</v>
      </c>
      <c r="K5" s="1">
        <v>1713</v>
      </c>
      <c r="L5" s="1">
        <v>1116</v>
      </c>
      <c r="M5" s="1">
        <v>1672</v>
      </c>
      <c r="N5" s="1">
        <v>1474</v>
      </c>
      <c r="O5" s="1">
        <v>1665</v>
      </c>
      <c r="P5" s="1">
        <v>413</v>
      </c>
      <c r="Q5" s="1">
        <v>1520</v>
      </c>
      <c r="R5" s="1">
        <v>1405</v>
      </c>
      <c r="S5" s="1">
        <v>1482</v>
      </c>
      <c r="T5" s="1">
        <v>1579</v>
      </c>
      <c r="U5" s="1">
        <v>1594</v>
      </c>
      <c r="V5" s="1">
        <v>1856</v>
      </c>
      <c r="W5" s="1">
        <v>2033</v>
      </c>
      <c r="X5" s="1">
        <v>395</v>
      </c>
      <c r="Y5" s="1">
        <v>42934</v>
      </c>
    </row>
    <row r="6" spans="1:25">
      <c r="A6" s="4" t="s">
        <v>82</v>
      </c>
      <c r="B6" s="1">
        <v>70679</v>
      </c>
      <c r="C6" s="1">
        <v>99621</v>
      </c>
      <c r="D6" s="1">
        <v>2152</v>
      </c>
      <c r="E6" s="1">
        <v>1334</v>
      </c>
      <c r="F6" s="1">
        <v>1407</v>
      </c>
      <c r="G6" s="1">
        <v>1852</v>
      </c>
      <c r="H6" s="1">
        <v>2688</v>
      </c>
      <c r="I6" s="1">
        <v>336</v>
      </c>
      <c r="J6" s="1">
        <v>2508</v>
      </c>
      <c r="K6" s="1">
        <v>1614</v>
      </c>
      <c r="L6" s="1">
        <v>2697</v>
      </c>
      <c r="M6" s="1">
        <v>1871</v>
      </c>
      <c r="N6" s="1">
        <v>1511</v>
      </c>
      <c r="O6" s="1">
        <v>997</v>
      </c>
      <c r="P6" s="1">
        <v>1964</v>
      </c>
      <c r="Q6" s="1">
        <v>443</v>
      </c>
      <c r="R6" s="1">
        <v>2610</v>
      </c>
      <c r="S6" s="1">
        <v>1464</v>
      </c>
      <c r="T6" s="1">
        <v>1406</v>
      </c>
      <c r="U6" s="1">
        <v>1718</v>
      </c>
      <c r="V6" s="1">
        <v>590</v>
      </c>
      <c r="W6" s="1">
        <v>555</v>
      </c>
      <c r="X6" s="1">
        <v>300</v>
      </c>
      <c r="Y6" s="1">
        <v>15216</v>
      </c>
    </row>
    <row r="7" spans="1:25">
      <c r="A7" s="4" t="s">
        <v>83</v>
      </c>
      <c r="B7" s="1">
        <v>60084</v>
      </c>
      <c r="C7" s="1">
        <v>100315</v>
      </c>
      <c r="D7" s="1">
        <v>1887</v>
      </c>
      <c r="E7" s="1">
        <v>1804</v>
      </c>
      <c r="F7" s="1">
        <v>1204</v>
      </c>
      <c r="G7" s="1">
        <v>1742</v>
      </c>
      <c r="H7" s="1">
        <v>1121</v>
      </c>
      <c r="I7" s="1">
        <v>1677</v>
      </c>
      <c r="J7" s="1">
        <v>1823</v>
      </c>
      <c r="K7" s="1">
        <v>1673</v>
      </c>
      <c r="L7" s="1">
        <v>1038</v>
      </c>
      <c r="M7" s="1">
        <v>1587</v>
      </c>
      <c r="N7" s="1">
        <v>1223</v>
      </c>
      <c r="O7" s="1">
        <v>1638</v>
      </c>
      <c r="P7" s="1">
        <v>1831</v>
      </c>
      <c r="Q7" s="1">
        <v>1598</v>
      </c>
      <c r="R7" s="1">
        <v>3206</v>
      </c>
      <c r="S7" s="1">
        <v>1325</v>
      </c>
      <c r="T7" s="1">
        <v>1333</v>
      </c>
      <c r="U7" s="1">
        <v>1623</v>
      </c>
      <c r="V7" s="1">
        <v>2256</v>
      </c>
      <c r="W7" s="1">
        <v>1673</v>
      </c>
      <c r="X7" s="1">
        <v>413</v>
      </c>
      <c r="Y7" s="1">
        <v>14908</v>
      </c>
    </row>
    <row r="8" spans="1:25">
      <c r="A8" s="4" t="s">
        <v>84</v>
      </c>
      <c r="B8" s="1">
        <v>36673</v>
      </c>
      <c r="C8" s="1">
        <v>55316</v>
      </c>
      <c r="D8" s="1">
        <v>522</v>
      </c>
      <c r="E8" s="1">
        <v>529</v>
      </c>
      <c r="F8" s="1">
        <v>1820</v>
      </c>
      <c r="G8" s="1">
        <v>1511</v>
      </c>
      <c r="H8" s="1">
        <v>2270</v>
      </c>
      <c r="I8" s="1">
        <v>1767</v>
      </c>
      <c r="J8" s="1">
        <v>2479</v>
      </c>
      <c r="K8" s="1">
        <v>1287</v>
      </c>
      <c r="L8" s="1">
        <v>2301</v>
      </c>
      <c r="M8" s="1">
        <v>1370</v>
      </c>
      <c r="N8" s="1">
        <v>1344</v>
      </c>
      <c r="O8" s="1">
        <v>1168</v>
      </c>
      <c r="P8" s="1">
        <v>2595</v>
      </c>
      <c r="Q8" s="1">
        <v>545</v>
      </c>
      <c r="R8" s="1">
        <v>1993</v>
      </c>
      <c r="S8" s="1">
        <v>1065</v>
      </c>
      <c r="T8" s="1">
        <v>1243</v>
      </c>
      <c r="U8" s="1">
        <v>844</v>
      </c>
      <c r="V8" s="1">
        <v>2000</v>
      </c>
      <c r="W8" s="1">
        <v>2659</v>
      </c>
      <c r="X8" s="1">
        <v>358</v>
      </c>
      <c r="Y8" s="1">
        <v>5415</v>
      </c>
    </row>
    <row r="9" spans="1:25">
      <c r="A9" s="4" t="s">
        <v>85</v>
      </c>
      <c r="B9" s="1">
        <v>22519</v>
      </c>
      <c r="C9" s="1">
        <v>51116</v>
      </c>
      <c r="D9" s="1">
        <v>1315</v>
      </c>
      <c r="E9" s="1">
        <v>1578</v>
      </c>
      <c r="F9" s="1">
        <v>1681</v>
      </c>
      <c r="G9" s="1">
        <v>1644</v>
      </c>
      <c r="H9" s="1">
        <v>3615</v>
      </c>
      <c r="I9" s="1">
        <v>1360</v>
      </c>
      <c r="J9" s="1">
        <v>390</v>
      </c>
      <c r="K9" s="1">
        <v>1646</v>
      </c>
      <c r="L9" s="1">
        <v>3953</v>
      </c>
      <c r="M9" s="1">
        <v>1738</v>
      </c>
      <c r="N9" s="1">
        <v>1338</v>
      </c>
      <c r="O9" s="1">
        <v>1268</v>
      </c>
      <c r="P9" s="1">
        <v>2608</v>
      </c>
      <c r="Q9" s="1">
        <v>1464</v>
      </c>
      <c r="R9" s="1">
        <v>1939</v>
      </c>
      <c r="S9" s="1">
        <v>1508</v>
      </c>
      <c r="T9" s="1">
        <v>1913</v>
      </c>
      <c r="U9" s="1">
        <v>1661</v>
      </c>
      <c r="V9" s="1">
        <v>550</v>
      </c>
      <c r="W9" s="1">
        <v>1664</v>
      </c>
      <c r="X9" s="1">
        <v>386</v>
      </c>
      <c r="Y9" s="1">
        <v>5074</v>
      </c>
    </row>
    <row r="10" spans="1:25">
      <c r="A10" s="4" t="s">
        <v>86</v>
      </c>
      <c r="B10" s="1">
        <v>12147</v>
      </c>
      <c r="C10" s="1">
        <v>28100</v>
      </c>
      <c r="D10" s="1">
        <v>1652</v>
      </c>
      <c r="E10" s="1">
        <v>443</v>
      </c>
      <c r="F10" s="1">
        <v>1930</v>
      </c>
      <c r="G10" s="1">
        <v>2067</v>
      </c>
      <c r="H10" s="1">
        <v>1511</v>
      </c>
      <c r="I10" s="1">
        <v>555</v>
      </c>
      <c r="J10" s="1">
        <v>2049</v>
      </c>
      <c r="K10" s="1">
        <v>421</v>
      </c>
      <c r="L10" s="1">
        <v>1489</v>
      </c>
      <c r="M10" s="1">
        <v>413</v>
      </c>
      <c r="N10" s="1">
        <v>1927</v>
      </c>
      <c r="O10" s="1">
        <v>2103</v>
      </c>
      <c r="P10" s="1">
        <v>947</v>
      </c>
      <c r="Q10" s="1">
        <v>1122</v>
      </c>
      <c r="R10" s="1">
        <v>770</v>
      </c>
      <c r="S10" s="1">
        <v>1866</v>
      </c>
      <c r="T10" s="1">
        <v>1373</v>
      </c>
      <c r="U10" s="1">
        <v>674</v>
      </c>
      <c r="V10" s="1">
        <v>1580</v>
      </c>
      <c r="W10" s="1">
        <v>504</v>
      </c>
      <c r="X10" s="1">
        <v>363</v>
      </c>
      <c r="Y10" s="1">
        <v>2035</v>
      </c>
    </row>
    <row r="11" spans="1:25">
      <c r="A11" s="4" t="s">
        <v>87</v>
      </c>
      <c r="B11" s="1">
        <v>9509</v>
      </c>
      <c r="C11" s="1">
        <v>13649</v>
      </c>
      <c r="D11" s="1">
        <v>1980</v>
      </c>
      <c r="E11" s="1">
        <v>1868</v>
      </c>
      <c r="F11" s="1">
        <v>910</v>
      </c>
      <c r="G11" s="1">
        <v>1751</v>
      </c>
      <c r="H11" s="1">
        <v>1403</v>
      </c>
      <c r="I11" s="1">
        <v>2135</v>
      </c>
      <c r="J11" s="1">
        <v>1869</v>
      </c>
      <c r="K11" s="1">
        <v>1541</v>
      </c>
      <c r="L11" s="1">
        <v>1301</v>
      </c>
      <c r="M11" s="1">
        <v>1597</v>
      </c>
      <c r="N11" s="1">
        <v>2014</v>
      </c>
      <c r="O11" s="1">
        <v>1438</v>
      </c>
      <c r="P11" s="1">
        <v>1585</v>
      </c>
      <c r="Q11" s="1">
        <v>1423</v>
      </c>
      <c r="R11" s="1">
        <v>1851</v>
      </c>
      <c r="S11" s="1">
        <v>1550</v>
      </c>
      <c r="T11" s="1">
        <v>1626</v>
      </c>
      <c r="U11" s="1">
        <v>1662</v>
      </c>
      <c r="V11" s="1">
        <v>1345</v>
      </c>
      <c r="W11" s="1">
        <v>1784</v>
      </c>
      <c r="X11" s="1">
        <v>440</v>
      </c>
      <c r="Y11" s="1">
        <v>2060</v>
      </c>
    </row>
    <row r="12" spans="1:25">
      <c r="A12" s="4" t="s">
        <v>88</v>
      </c>
      <c r="B12" s="1">
        <v>4699</v>
      </c>
      <c r="C12" s="1">
        <v>5531</v>
      </c>
      <c r="D12" s="1">
        <v>1209</v>
      </c>
      <c r="E12" s="1">
        <v>597</v>
      </c>
      <c r="F12" s="1">
        <v>1262</v>
      </c>
      <c r="G12" s="1">
        <v>1710</v>
      </c>
      <c r="H12" s="1">
        <v>1527</v>
      </c>
      <c r="I12" s="1">
        <v>2334</v>
      </c>
      <c r="J12" s="1">
        <v>1958</v>
      </c>
      <c r="K12" s="1">
        <v>1921</v>
      </c>
      <c r="L12" s="1">
        <v>464</v>
      </c>
      <c r="M12" s="1">
        <v>1705</v>
      </c>
      <c r="N12" s="1">
        <v>554</v>
      </c>
      <c r="O12" s="1">
        <v>1202</v>
      </c>
      <c r="P12" s="1">
        <v>1737</v>
      </c>
      <c r="Q12" s="1">
        <v>1583</v>
      </c>
      <c r="R12" s="1">
        <v>1473</v>
      </c>
      <c r="S12" s="1">
        <v>2021</v>
      </c>
      <c r="T12" s="1">
        <v>2822</v>
      </c>
      <c r="U12" s="1">
        <v>1729</v>
      </c>
      <c r="V12" s="1">
        <v>2088</v>
      </c>
      <c r="W12" s="1">
        <v>385</v>
      </c>
      <c r="X12" s="1">
        <v>428</v>
      </c>
      <c r="Y12" s="1">
        <v>921</v>
      </c>
    </row>
    <row r="13" spans="1:25">
      <c r="A13" s="4" t="s">
        <v>89</v>
      </c>
      <c r="B13" s="1">
        <v>3246</v>
      </c>
      <c r="C13" s="1">
        <v>3833</v>
      </c>
      <c r="D13" s="1">
        <v>1764</v>
      </c>
      <c r="E13" s="1">
        <v>2011</v>
      </c>
      <c r="F13" s="1">
        <v>3875</v>
      </c>
      <c r="G13" s="1">
        <v>1703</v>
      </c>
      <c r="H13" s="1">
        <v>1494</v>
      </c>
      <c r="I13" s="1">
        <v>1613</v>
      </c>
      <c r="J13" s="1">
        <v>622</v>
      </c>
      <c r="K13" s="1">
        <v>1638</v>
      </c>
      <c r="L13" s="1">
        <v>1256</v>
      </c>
      <c r="M13" s="1">
        <v>1634</v>
      </c>
      <c r="N13" s="1">
        <v>1404</v>
      </c>
      <c r="O13" s="1">
        <v>1374</v>
      </c>
      <c r="P13" s="1">
        <v>2348</v>
      </c>
      <c r="Q13" s="1">
        <v>1915</v>
      </c>
      <c r="R13" s="1">
        <v>2418</v>
      </c>
      <c r="S13" s="1">
        <v>1435</v>
      </c>
      <c r="T13" s="1">
        <v>1125</v>
      </c>
      <c r="U13" s="1">
        <v>1686</v>
      </c>
      <c r="V13" s="1">
        <v>3583</v>
      </c>
      <c r="W13" s="1">
        <v>1628</v>
      </c>
      <c r="X13" s="1">
        <v>409</v>
      </c>
      <c r="Y13" s="1">
        <v>934</v>
      </c>
    </row>
    <row r="14" spans="1:25">
      <c r="A14" s="4" t="s">
        <v>90</v>
      </c>
      <c r="B14" s="1">
        <v>2906</v>
      </c>
      <c r="C14" s="1">
        <v>2303</v>
      </c>
      <c r="D14" s="1">
        <v>1951</v>
      </c>
      <c r="E14" s="1">
        <v>1665</v>
      </c>
      <c r="F14" s="1">
        <v>1162</v>
      </c>
      <c r="G14" s="1">
        <v>1144</v>
      </c>
      <c r="H14" s="1">
        <v>1365</v>
      </c>
      <c r="I14" s="1">
        <v>2137</v>
      </c>
      <c r="J14" s="1">
        <v>1270</v>
      </c>
      <c r="K14" s="1">
        <v>1263</v>
      </c>
      <c r="L14" s="1">
        <v>1255</v>
      </c>
      <c r="M14" s="1">
        <v>1572</v>
      </c>
      <c r="N14" s="1">
        <v>1617</v>
      </c>
      <c r="O14" s="1">
        <v>1215</v>
      </c>
      <c r="P14" s="1">
        <v>1527</v>
      </c>
      <c r="Q14" s="1">
        <v>1764</v>
      </c>
      <c r="R14" s="1">
        <v>1499</v>
      </c>
      <c r="S14" s="1">
        <v>1600</v>
      </c>
      <c r="T14" s="1">
        <v>1277</v>
      </c>
      <c r="U14" s="1">
        <v>1279</v>
      </c>
      <c r="V14" s="1">
        <v>3532</v>
      </c>
      <c r="W14" s="1">
        <v>1442</v>
      </c>
      <c r="X14" s="1">
        <v>430</v>
      </c>
      <c r="Y14" s="1">
        <v>570</v>
      </c>
    </row>
    <row r="15" spans="1:25">
      <c r="A15" s="4" t="s">
        <v>91</v>
      </c>
      <c r="B15" s="1">
        <v>2211</v>
      </c>
      <c r="C15" s="1">
        <v>2320</v>
      </c>
      <c r="D15" s="1">
        <v>3474</v>
      </c>
      <c r="E15" s="1">
        <v>1795</v>
      </c>
      <c r="F15" s="1">
        <v>559</v>
      </c>
      <c r="G15" s="1">
        <v>1677</v>
      </c>
      <c r="H15" s="1">
        <v>1397</v>
      </c>
      <c r="I15" s="1">
        <v>1802</v>
      </c>
      <c r="J15" s="1">
        <v>589</v>
      </c>
      <c r="K15" s="1">
        <v>1645</v>
      </c>
      <c r="L15" s="1">
        <v>1902</v>
      </c>
      <c r="M15" s="1">
        <v>1697</v>
      </c>
      <c r="N15" s="1">
        <v>1718</v>
      </c>
      <c r="O15" s="1">
        <v>1441</v>
      </c>
      <c r="P15" s="1">
        <v>1319</v>
      </c>
      <c r="Q15" s="1">
        <v>1707</v>
      </c>
      <c r="R15" s="1">
        <v>1222</v>
      </c>
      <c r="S15" s="1">
        <v>1464</v>
      </c>
      <c r="T15" s="1">
        <v>1038</v>
      </c>
      <c r="U15" s="1">
        <v>1908</v>
      </c>
      <c r="V15" s="1">
        <v>1739</v>
      </c>
      <c r="W15" s="1">
        <v>1986</v>
      </c>
      <c r="X15" s="1">
        <v>485</v>
      </c>
      <c r="Y15" s="1">
        <v>536</v>
      </c>
    </row>
    <row r="16" spans="1:25">
      <c r="A16" s="4" t="s">
        <v>92</v>
      </c>
      <c r="B16" s="1">
        <v>2447</v>
      </c>
      <c r="C16" s="1">
        <v>1823</v>
      </c>
      <c r="D16" s="1">
        <v>2224</v>
      </c>
      <c r="E16" s="1">
        <v>2095</v>
      </c>
      <c r="F16" s="1">
        <v>382</v>
      </c>
      <c r="G16" s="1">
        <v>3009</v>
      </c>
      <c r="H16" s="1">
        <v>340</v>
      </c>
      <c r="I16" s="1">
        <v>2498</v>
      </c>
      <c r="J16" s="1">
        <v>2980</v>
      </c>
      <c r="K16" s="1">
        <v>889</v>
      </c>
      <c r="L16" s="1">
        <v>936</v>
      </c>
      <c r="M16" s="1">
        <v>1963</v>
      </c>
      <c r="N16" s="1">
        <v>2091</v>
      </c>
      <c r="O16" s="1">
        <v>1571</v>
      </c>
      <c r="P16" s="1">
        <v>1564</v>
      </c>
      <c r="Q16" s="1">
        <v>1643</v>
      </c>
      <c r="R16" s="1">
        <v>2037</v>
      </c>
      <c r="S16" s="1">
        <v>1574</v>
      </c>
      <c r="T16" s="1">
        <v>1572</v>
      </c>
      <c r="U16" s="1">
        <v>1493</v>
      </c>
      <c r="V16" s="1">
        <v>3654</v>
      </c>
      <c r="W16" s="1">
        <v>2359</v>
      </c>
      <c r="X16" s="1">
        <v>407</v>
      </c>
      <c r="Y16" s="1">
        <v>311</v>
      </c>
    </row>
    <row r="17" spans="1:26">
      <c r="A17" s="4" t="s">
        <v>93</v>
      </c>
      <c r="B17" s="1">
        <v>2735</v>
      </c>
      <c r="C17" s="1">
        <v>2128</v>
      </c>
      <c r="D17" s="1">
        <v>2083</v>
      </c>
      <c r="E17" s="1">
        <v>1916</v>
      </c>
      <c r="F17" s="1">
        <v>2272</v>
      </c>
      <c r="G17" s="1">
        <v>1864</v>
      </c>
      <c r="H17" s="1">
        <v>2615</v>
      </c>
      <c r="I17" s="1">
        <v>2032</v>
      </c>
      <c r="J17" s="1">
        <v>345</v>
      </c>
      <c r="K17" s="1">
        <v>1805</v>
      </c>
      <c r="L17" s="1">
        <v>1678</v>
      </c>
      <c r="M17" s="1">
        <v>1905</v>
      </c>
      <c r="N17" s="1">
        <v>1614</v>
      </c>
      <c r="O17" s="1">
        <v>1895</v>
      </c>
      <c r="P17" s="1">
        <v>2145</v>
      </c>
      <c r="Q17" s="1">
        <v>1732</v>
      </c>
      <c r="R17" s="1">
        <v>5459</v>
      </c>
      <c r="S17" s="1">
        <v>1881</v>
      </c>
      <c r="T17" s="1">
        <v>3166</v>
      </c>
      <c r="U17" s="1">
        <v>2049</v>
      </c>
      <c r="V17" s="1">
        <v>2385</v>
      </c>
      <c r="W17" s="1">
        <v>2051</v>
      </c>
      <c r="X17" s="1">
        <v>495</v>
      </c>
      <c r="Y17" s="1">
        <v>311</v>
      </c>
    </row>
    <row r="18" spans="1:26" s="5" customFormat="1"/>
    <row r="19" spans="1:26" s="5" customFormat="1">
      <c r="W19" s="5" t="s">
        <v>95</v>
      </c>
      <c r="X19" s="5" t="s">
        <v>96</v>
      </c>
      <c r="Y19" s="5" t="s">
        <v>97</v>
      </c>
      <c r="Z19" s="5" t="s">
        <v>98</v>
      </c>
    </row>
    <row r="20" spans="1:26" s="5" customFormat="1">
      <c r="W20" s="6">
        <f>AVERAGE(W15,U15,U13,W13,W11,U11,S15,S13,S11,Q11,Q13,Q15,O15,O13,O11,O9,Q9,S9,U9,W9)</f>
        <v>1598.3</v>
      </c>
      <c r="X20" s="6">
        <f>AVERAGE(X4:X15)</f>
        <v>398.58333333333331</v>
      </c>
      <c r="Y20" s="20">
        <f>W20/X20</f>
        <v>4.0099519130252981</v>
      </c>
      <c r="Z20" s="7">
        <f>W20-X20</f>
        <v>1199.7166666666667</v>
      </c>
    </row>
    <row r="21" spans="1:26" s="5" customFormat="1">
      <c r="D21" s="21" t="s">
        <v>101</v>
      </c>
    </row>
    <row r="22" spans="1:26" s="5" customFormat="1" ht="15" thickBot="1">
      <c r="A22" s="8" t="s">
        <v>53</v>
      </c>
      <c r="B22" s="8" t="s">
        <v>54</v>
      </c>
      <c r="C22" s="8" t="s">
        <v>55</v>
      </c>
      <c r="D22" s="8" t="s">
        <v>56</v>
      </c>
      <c r="E22" s="8" t="s">
        <v>57</v>
      </c>
      <c r="F22" s="8" t="s">
        <v>58</v>
      </c>
      <c r="G22" s="8" t="s">
        <v>59</v>
      </c>
      <c r="H22" s="8" t="s">
        <v>60</v>
      </c>
      <c r="I22" s="8" t="s">
        <v>61</v>
      </c>
      <c r="J22" s="8" t="s">
        <v>62</v>
      </c>
      <c r="K22" s="8" t="s">
        <v>63</v>
      </c>
      <c r="L22" s="8" t="s">
        <v>64</v>
      </c>
      <c r="M22" s="8" t="s">
        <v>65</v>
      </c>
      <c r="N22" s="8" t="s">
        <v>66</v>
      </c>
      <c r="O22" s="8" t="s">
        <v>67</v>
      </c>
      <c r="P22" s="8" t="s">
        <v>68</v>
      </c>
      <c r="Q22" s="8" t="s">
        <v>69</v>
      </c>
      <c r="R22" s="8" t="s">
        <v>70</v>
      </c>
      <c r="S22" s="8" t="s">
        <v>71</v>
      </c>
      <c r="T22" s="8" t="s">
        <v>72</v>
      </c>
      <c r="U22" s="8" t="s">
        <v>73</v>
      </c>
      <c r="V22" s="8" t="s">
        <v>74</v>
      </c>
      <c r="W22" s="8" t="s">
        <v>75</v>
      </c>
      <c r="X22" s="8" t="s">
        <v>76</v>
      </c>
      <c r="Y22" s="8" t="s">
        <v>77</v>
      </c>
    </row>
    <row r="23" spans="1:26" s="5" customFormat="1">
      <c r="A23" s="8" t="s">
        <v>78</v>
      </c>
      <c r="B23" s="9"/>
      <c r="C23" s="9"/>
      <c r="D23" s="10">
        <f t="shared" ref="D23:W23" si="0">(D2-399)/1200</f>
        <v>0.35833333333333334</v>
      </c>
      <c r="E23" s="11">
        <f t="shared" si="0"/>
        <v>0.22666666666666666</v>
      </c>
      <c r="F23" s="11">
        <f t="shared" si="0"/>
        <v>2.0350000000000001</v>
      </c>
      <c r="G23" s="11">
        <f t="shared" si="0"/>
        <v>1.8066666666666666</v>
      </c>
      <c r="H23" s="11">
        <f t="shared" si="0"/>
        <v>1.4391666666666667</v>
      </c>
      <c r="I23" s="11">
        <f t="shared" si="0"/>
        <v>1.6541666666666666</v>
      </c>
      <c r="J23" s="11">
        <f t="shared" si="0"/>
        <v>1.2916666666666667</v>
      </c>
      <c r="K23" s="11">
        <f t="shared" si="0"/>
        <v>0.99083333333333334</v>
      </c>
      <c r="L23" s="11">
        <f t="shared" si="0"/>
        <v>1.4650000000000001</v>
      </c>
      <c r="M23" s="11">
        <f t="shared" si="0"/>
        <v>1.5</v>
      </c>
      <c r="N23" s="11">
        <f t="shared" si="0"/>
        <v>1.2683333333333333</v>
      </c>
      <c r="O23" s="11">
        <f t="shared" si="0"/>
        <v>2.4591666666666665</v>
      </c>
      <c r="P23" s="11">
        <f t="shared" si="0"/>
        <v>1.2925</v>
      </c>
      <c r="Q23" s="11">
        <f t="shared" si="0"/>
        <v>1.0883333333333334</v>
      </c>
      <c r="R23" s="11">
        <f t="shared" si="0"/>
        <v>1.7341666666666666</v>
      </c>
      <c r="S23" s="11">
        <f t="shared" si="0"/>
        <v>2.2675000000000001</v>
      </c>
      <c r="T23" s="11">
        <f t="shared" si="0"/>
        <v>1.7333333333333334</v>
      </c>
      <c r="U23" s="11">
        <f t="shared" si="0"/>
        <v>1.1683333333333332</v>
      </c>
      <c r="V23" s="11">
        <f t="shared" si="0"/>
        <v>1.3033333333333332</v>
      </c>
      <c r="W23" s="12">
        <f t="shared" si="0"/>
        <v>1.2908333333333333</v>
      </c>
      <c r="X23" s="9"/>
      <c r="Y23" s="13"/>
    </row>
    <row r="24" spans="1:26" s="5" customFormat="1">
      <c r="A24" s="8" t="s">
        <v>79</v>
      </c>
      <c r="B24" s="14" t="s">
        <v>99</v>
      </c>
      <c r="C24" s="14" t="s">
        <v>100</v>
      </c>
      <c r="D24" s="15">
        <f t="shared" ref="D24:W24" si="1">(D3-399)/1200</f>
        <v>0.67416666666666669</v>
      </c>
      <c r="E24" s="9">
        <f t="shared" si="1"/>
        <v>1.8458333333333334</v>
      </c>
      <c r="F24" s="9">
        <f t="shared" si="1"/>
        <v>1.0191666666666668</v>
      </c>
      <c r="G24" s="9">
        <f t="shared" si="1"/>
        <v>1.0225</v>
      </c>
      <c r="H24" s="9">
        <f t="shared" si="1"/>
        <v>0.57999999999999996</v>
      </c>
      <c r="I24" s="9">
        <f t="shared" si="1"/>
        <v>1.8374999999999999</v>
      </c>
      <c r="J24" s="9">
        <f t="shared" si="1"/>
        <v>0.67583333333333329</v>
      </c>
      <c r="K24" s="9">
        <f t="shared" si="1"/>
        <v>1.2616666666666667</v>
      </c>
      <c r="L24" s="9">
        <f t="shared" si="1"/>
        <v>3.1575000000000002</v>
      </c>
      <c r="M24" s="9">
        <f t="shared" si="1"/>
        <v>0.93833333333333335</v>
      </c>
      <c r="N24" s="9">
        <f t="shared" si="1"/>
        <v>1.3008333333333333</v>
      </c>
      <c r="O24" s="9">
        <f t="shared" si="1"/>
        <v>7.0833333333333331E-2</v>
      </c>
      <c r="P24" s="9">
        <f t="shared" si="1"/>
        <v>2.0375000000000001</v>
      </c>
      <c r="Q24" s="9">
        <f t="shared" si="1"/>
        <v>2.3583333333333334</v>
      </c>
      <c r="R24" s="9">
        <f t="shared" si="1"/>
        <v>1.2116666666666667</v>
      </c>
      <c r="S24" s="9">
        <f t="shared" si="1"/>
        <v>0.79416666666666669</v>
      </c>
      <c r="T24" s="9">
        <f t="shared" si="1"/>
        <v>0.80583333333333329</v>
      </c>
      <c r="U24" s="9">
        <f t="shared" si="1"/>
        <v>0.86333333333333329</v>
      </c>
      <c r="V24" s="9">
        <f t="shared" si="1"/>
        <v>1.0008333333333332</v>
      </c>
      <c r="W24" s="16">
        <f t="shared" si="1"/>
        <v>1.0891666666666666</v>
      </c>
      <c r="X24" s="9"/>
      <c r="Y24" s="13"/>
    </row>
    <row r="25" spans="1:26" s="5" customFormat="1">
      <c r="A25" s="8" t="s">
        <v>80</v>
      </c>
      <c r="B25" s="9">
        <f t="shared" ref="B25:W25" si="2">(B4-399)/1200</f>
        <v>89.209166666666661</v>
      </c>
      <c r="C25" s="9">
        <f t="shared" si="2"/>
        <v>85.764166666666668</v>
      </c>
      <c r="D25" s="15">
        <f t="shared" si="2"/>
        <v>0.23499999999999999</v>
      </c>
      <c r="E25" s="9">
        <f t="shared" si="2"/>
        <v>0.2225</v>
      </c>
      <c r="F25" s="9">
        <f t="shared" si="2"/>
        <v>-0.06</v>
      </c>
      <c r="G25" s="9">
        <f t="shared" si="2"/>
        <v>1.6083333333333334</v>
      </c>
      <c r="H25" s="9">
        <f t="shared" si="2"/>
        <v>0.96750000000000003</v>
      </c>
      <c r="I25" s="9">
        <f t="shared" si="2"/>
        <v>0.39333333333333331</v>
      </c>
      <c r="J25" s="9">
        <f t="shared" si="2"/>
        <v>0.1875</v>
      </c>
      <c r="K25" s="9">
        <f t="shared" si="2"/>
        <v>0.28666666666666668</v>
      </c>
      <c r="L25" s="9">
        <f t="shared" si="2"/>
        <v>3.4358333333333335</v>
      </c>
      <c r="M25" s="9">
        <f t="shared" si="2"/>
        <v>2.8783333333333334</v>
      </c>
      <c r="N25" s="9">
        <f t="shared" si="2"/>
        <v>1.8049999999999999</v>
      </c>
      <c r="O25" s="9">
        <f t="shared" si="2"/>
        <v>0.78583333333333338</v>
      </c>
      <c r="P25" s="9">
        <f t="shared" si="2"/>
        <v>2.4466666666666668</v>
      </c>
      <c r="Q25" s="9">
        <f t="shared" si="2"/>
        <v>0.52083333333333337</v>
      </c>
      <c r="R25" s="9">
        <f t="shared" si="2"/>
        <v>1.1383333333333334</v>
      </c>
      <c r="S25" s="9">
        <f t="shared" si="2"/>
        <v>0.35499999999999998</v>
      </c>
      <c r="T25" s="9">
        <f t="shared" si="2"/>
        <v>1.3308333333333333</v>
      </c>
      <c r="U25" s="9">
        <f t="shared" si="2"/>
        <v>0.89666666666666661</v>
      </c>
      <c r="V25" s="9">
        <f t="shared" si="2"/>
        <v>1.1458333333333333</v>
      </c>
      <c r="W25" s="16">
        <f t="shared" si="2"/>
        <v>1.0183333333333333</v>
      </c>
      <c r="X25" s="9"/>
      <c r="Y25" s="13"/>
    </row>
    <row r="26" spans="1:26" s="5" customFormat="1">
      <c r="A26" s="8" t="s">
        <v>81</v>
      </c>
      <c r="B26" s="9">
        <f t="shared" ref="B26:W26" si="3">(B5-399)/1200</f>
        <v>82.286666666666662</v>
      </c>
      <c r="C26" s="9">
        <f t="shared" si="3"/>
        <v>85.079166666666666</v>
      </c>
      <c r="D26" s="15">
        <f t="shared" si="3"/>
        <v>0.30333333333333334</v>
      </c>
      <c r="E26" s="9">
        <f t="shared" si="3"/>
        <v>0.94499999999999995</v>
      </c>
      <c r="F26" s="9">
        <f t="shared" si="3"/>
        <v>1.6158333333333332</v>
      </c>
      <c r="G26" s="9">
        <f t="shared" si="3"/>
        <v>1.175</v>
      </c>
      <c r="H26" s="9">
        <f t="shared" si="3"/>
        <v>1.4966666666666666</v>
      </c>
      <c r="I26" s="9">
        <f t="shared" si="3"/>
        <v>1.1883333333333332</v>
      </c>
      <c r="J26" s="9">
        <f t="shared" si="3"/>
        <v>1.1133333333333333</v>
      </c>
      <c r="K26" s="9">
        <f t="shared" si="3"/>
        <v>1.095</v>
      </c>
      <c r="L26" s="9">
        <f t="shared" si="3"/>
        <v>0.59750000000000003</v>
      </c>
      <c r="M26" s="9">
        <f t="shared" si="3"/>
        <v>1.0608333333333333</v>
      </c>
      <c r="N26" s="9">
        <f t="shared" si="3"/>
        <v>0.89583333333333337</v>
      </c>
      <c r="O26" s="9">
        <f t="shared" si="3"/>
        <v>1.0549999999999999</v>
      </c>
      <c r="P26" s="9">
        <f t="shared" si="3"/>
        <v>1.1666666666666667E-2</v>
      </c>
      <c r="Q26" s="9">
        <f t="shared" si="3"/>
        <v>0.9341666666666667</v>
      </c>
      <c r="R26" s="9">
        <f t="shared" si="3"/>
        <v>0.83833333333333337</v>
      </c>
      <c r="S26" s="9">
        <f t="shared" si="3"/>
        <v>0.90249999999999997</v>
      </c>
      <c r="T26" s="9">
        <f t="shared" si="3"/>
        <v>0.98333333333333328</v>
      </c>
      <c r="U26" s="9">
        <f t="shared" si="3"/>
        <v>0.99583333333333335</v>
      </c>
      <c r="V26" s="9">
        <f t="shared" si="3"/>
        <v>1.2141666666666666</v>
      </c>
      <c r="W26" s="16">
        <f t="shared" si="3"/>
        <v>1.3616666666666666</v>
      </c>
      <c r="X26" s="9"/>
      <c r="Y26" s="13"/>
    </row>
    <row r="27" spans="1:26" s="5" customFormat="1">
      <c r="A27" s="8" t="s">
        <v>82</v>
      </c>
      <c r="B27" s="9">
        <f t="shared" ref="B27:W27" si="4">(B6-399)/1200</f>
        <v>58.56666666666667</v>
      </c>
      <c r="C27" s="9">
        <f t="shared" si="4"/>
        <v>82.685000000000002</v>
      </c>
      <c r="D27" s="15">
        <f t="shared" si="4"/>
        <v>1.4608333333333334</v>
      </c>
      <c r="E27" s="9">
        <f t="shared" si="4"/>
        <v>0.77916666666666667</v>
      </c>
      <c r="F27" s="9">
        <f t="shared" si="4"/>
        <v>0.84</v>
      </c>
      <c r="G27" s="9">
        <f t="shared" si="4"/>
        <v>1.2108333333333334</v>
      </c>
      <c r="H27" s="9">
        <f t="shared" si="4"/>
        <v>1.9075</v>
      </c>
      <c r="I27" s="9">
        <f t="shared" si="4"/>
        <v>-5.2499999999999998E-2</v>
      </c>
      <c r="J27" s="9">
        <f t="shared" si="4"/>
        <v>1.7575000000000001</v>
      </c>
      <c r="K27" s="9">
        <f t="shared" si="4"/>
        <v>1.0125</v>
      </c>
      <c r="L27" s="9">
        <f t="shared" si="4"/>
        <v>1.915</v>
      </c>
      <c r="M27" s="9">
        <f t="shared" si="4"/>
        <v>1.2266666666666666</v>
      </c>
      <c r="N27" s="9">
        <f t="shared" si="4"/>
        <v>0.92666666666666664</v>
      </c>
      <c r="O27" s="9">
        <f t="shared" si="4"/>
        <v>0.49833333333333335</v>
      </c>
      <c r="P27" s="9">
        <f t="shared" si="4"/>
        <v>1.3041666666666667</v>
      </c>
      <c r="Q27" s="9">
        <f t="shared" si="4"/>
        <v>3.6666666666666667E-2</v>
      </c>
      <c r="R27" s="9">
        <f t="shared" si="4"/>
        <v>1.8425</v>
      </c>
      <c r="S27" s="9">
        <f t="shared" si="4"/>
        <v>0.88749999999999996</v>
      </c>
      <c r="T27" s="9">
        <f t="shared" si="4"/>
        <v>0.83916666666666662</v>
      </c>
      <c r="U27" s="9">
        <f t="shared" si="4"/>
        <v>1.0991666666666666</v>
      </c>
      <c r="V27" s="9">
        <f t="shared" si="4"/>
        <v>0.15916666666666668</v>
      </c>
      <c r="W27" s="16">
        <f t="shared" si="4"/>
        <v>0.13</v>
      </c>
      <c r="X27" s="9"/>
      <c r="Y27" s="13"/>
    </row>
    <row r="28" spans="1:26" s="5" customFormat="1">
      <c r="A28" s="8" t="s">
        <v>83</v>
      </c>
      <c r="B28" s="9">
        <f t="shared" ref="B28:W28" si="5">(B7-399)/1200</f>
        <v>49.737499999999997</v>
      </c>
      <c r="C28" s="9">
        <f t="shared" si="5"/>
        <v>83.263333333333335</v>
      </c>
      <c r="D28" s="15">
        <f t="shared" si="5"/>
        <v>1.24</v>
      </c>
      <c r="E28" s="9">
        <f t="shared" si="5"/>
        <v>1.1708333333333334</v>
      </c>
      <c r="F28" s="9">
        <f t="shared" si="5"/>
        <v>0.67083333333333328</v>
      </c>
      <c r="G28" s="9">
        <f t="shared" si="5"/>
        <v>1.1191666666666666</v>
      </c>
      <c r="H28" s="9">
        <f t="shared" si="5"/>
        <v>0.60166666666666668</v>
      </c>
      <c r="I28" s="9">
        <f t="shared" si="5"/>
        <v>1.0649999999999999</v>
      </c>
      <c r="J28" s="9">
        <f t="shared" si="5"/>
        <v>1.1866666666666668</v>
      </c>
      <c r="K28" s="9">
        <f t="shared" si="5"/>
        <v>1.0616666666666668</v>
      </c>
      <c r="L28" s="9">
        <f t="shared" si="5"/>
        <v>0.53249999999999997</v>
      </c>
      <c r="M28" s="9">
        <f t="shared" si="5"/>
        <v>0.99</v>
      </c>
      <c r="N28" s="9">
        <f t="shared" si="5"/>
        <v>0.68666666666666665</v>
      </c>
      <c r="O28" s="9">
        <f t="shared" si="5"/>
        <v>1.0325</v>
      </c>
      <c r="P28" s="9">
        <f t="shared" si="5"/>
        <v>1.1933333333333334</v>
      </c>
      <c r="Q28" s="9">
        <f t="shared" si="5"/>
        <v>0.99916666666666665</v>
      </c>
      <c r="R28" s="9">
        <f t="shared" si="5"/>
        <v>2.3391666666666668</v>
      </c>
      <c r="S28" s="9">
        <f t="shared" si="5"/>
        <v>0.77166666666666661</v>
      </c>
      <c r="T28" s="9">
        <f t="shared" si="5"/>
        <v>0.77833333333333332</v>
      </c>
      <c r="U28" s="9">
        <f t="shared" si="5"/>
        <v>1.02</v>
      </c>
      <c r="V28" s="9">
        <f t="shared" si="5"/>
        <v>1.5475000000000001</v>
      </c>
      <c r="W28" s="16">
        <f t="shared" si="5"/>
        <v>1.0616666666666668</v>
      </c>
      <c r="X28" s="9"/>
      <c r="Y28" s="13"/>
    </row>
    <row r="29" spans="1:26" s="5" customFormat="1">
      <c r="A29" s="8" t="s">
        <v>84</v>
      </c>
      <c r="B29" s="9">
        <f t="shared" ref="B29:W29" si="6">(B8-399)/1200</f>
        <v>30.228333333333332</v>
      </c>
      <c r="C29" s="9">
        <f t="shared" si="6"/>
        <v>45.764166666666668</v>
      </c>
      <c r="D29" s="15">
        <f t="shared" si="6"/>
        <v>0.10249999999999999</v>
      </c>
      <c r="E29" s="9">
        <f t="shared" si="6"/>
        <v>0.10833333333333334</v>
      </c>
      <c r="F29" s="9">
        <f t="shared" si="6"/>
        <v>1.1841666666666666</v>
      </c>
      <c r="G29" s="9">
        <f t="shared" si="6"/>
        <v>0.92666666666666664</v>
      </c>
      <c r="H29" s="9">
        <f t="shared" si="6"/>
        <v>1.5591666666666666</v>
      </c>
      <c r="I29" s="9">
        <f t="shared" si="6"/>
        <v>1.1399999999999999</v>
      </c>
      <c r="J29" s="9">
        <f t="shared" si="6"/>
        <v>1.7333333333333334</v>
      </c>
      <c r="K29" s="9">
        <f t="shared" si="6"/>
        <v>0.74</v>
      </c>
      <c r="L29" s="9">
        <f t="shared" si="6"/>
        <v>1.585</v>
      </c>
      <c r="M29" s="9">
        <f t="shared" si="6"/>
        <v>0.8091666666666667</v>
      </c>
      <c r="N29" s="9">
        <f t="shared" si="6"/>
        <v>0.78749999999999998</v>
      </c>
      <c r="O29" s="9">
        <f t="shared" si="6"/>
        <v>0.64083333333333337</v>
      </c>
      <c r="P29" s="9">
        <f t="shared" si="6"/>
        <v>1.83</v>
      </c>
      <c r="Q29" s="9">
        <f t="shared" si="6"/>
        <v>0.12166666666666667</v>
      </c>
      <c r="R29" s="9">
        <f t="shared" si="6"/>
        <v>1.3283333333333334</v>
      </c>
      <c r="S29" s="9">
        <f t="shared" si="6"/>
        <v>0.55500000000000005</v>
      </c>
      <c r="T29" s="9">
        <f t="shared" si="6"/>
        <v>0.70333333333333337</v>
      </c>
      <c r="U29" s="9">
        <f t="shared" si="6"/>
        <v>0.37083333333333335</v>
      </c>
      <c r="V29" s="9">
        <f t="shared" si="6"/>
        <v>1.3341666666666667</v>
      </c>
      <c r="W29" s="16">
        <f t="shared" si="6"/>
        <v>1.8833333333333333</v>
      </c>
      <c r="X29" s="9"/>
      <c r="Y29" s="13"/>
    </row>
    <row r="30" spans="1:26" s="5" customFormat="1">
      <c r="A30" s="8" t="s">
        <v>85</v>
      </c>
      <c r="B30" s="9">
        <f t="shared" ref="B30:W30" si="7">(B9-399)/1200</f>
        <v>18.433333333333334</v>
      </c>
      <c r="C30" s="9">
        <f t="shared" si="7"/>
        <v>42.264166666666668</v>
      </c>
      <c r="D30" s="15">
        <f t="shared" si="7"/>
        <v>0.76333333333333331</v>
      </c>
      <c r="E30" s="9">
        <f t="shared" si="7"/>
        <v>0.98250000000000004</v>
      </c>
      <c r="F30" s="9">
        <f t="shared" si="7"/>
        <v>1.0683333333333334</v>
      </c>
      <c r="G30" s="9">
        <f t="shared" si="7"/>
        <v>1.0375000000000001</v>
      </c>
      <c r="H30" s="9">
        <f t="shared" si="7"/>
        <v>2.68</v>
      </c>
      <c r="I30" s="9">
        <f t="shared" si="7"/>
        <v>0.80083333333333329</v>
      </c>
      <c r="J30" s="9">
        <f t="shared" si="7"/>
        <v>-7.4999999999999997E-3</v>
      </c>
      <c r="K30" s="9">
        <f t="shared" si="7"/>
        <v>1.0391666666666666</v>
      </c>
      <c r="L30" s="9">
        <f t="shared" si="7"/>
        <v>2.9616666666666664</v>
      </c>
      <c r="M30" s="9">
        <f t="shared" si="7"/>
        <v>1.1158333333333332</v>
      </c>
      <c r="N30" s="9">
        <f t="shared" si="7"/>
        <v>0.78249999999999997</v>
      </c>
      <c r="O30" s="9">
        <f t="shared" si="7"/>
        <v>0.72416666666666663</v>
      </c>
      <c r="P30" s="9">
        <f t="shared" si="7"/>
        <v>1.8408333333333333</v>
      </c>
      <c r="Q30" s="9">
        <f t="shared" si="7"/>
        <v>0.88749999999999996</v>
      </c>
      <c r="R30" s="9">
        <f t="shared" si="7"/>
        <v>1.2833333333333334</v>
      </c>
      <c r="S30" s="9">
        <f t="shared" si="7"/>
        <v>0.92416666666666669</v>
      </c>
      <c r="T30" s="9">
        <f t="shared" si="7"/>
        <v>1.2616666666666667</v>
      </c>
      <c r="U30" s="9">
        <f t="shared" si="7"/>
        <v>1.0516666666666667</v>
      </c>
      <c r="V30" s="9">
        <f t="shared" si="7"/>
        <v>0.12583333333333332</v>
      </c>
      <c r="W30" s="16">
        <f t="shared" si="7"/>
        <v>1.0541666666666667</v>
      </c>
      <c r="X30" s="9"/>
      <c r="Y30" s="13"/>
    </row>
    <row r="31" spans="1:26" s="5" customFormat="1">
      <c r="A31" s="8" t="s">
        <v>86</v>
      </c>
      <c r="B31" s="9">
        <f t="shared" ref="B31:W31" si="8">(B10-399)/1200</f>
        <v>9.7899999999999991</v>
      </c>
      <c r="C31" s="9">
        <f t="shared" si="8"/>
        <v>23.084166666666668</v>
      </c>
      <c r="D31" s="15">
        <f t="shared" si="8"/>
        <v>1.0441666666666667</v>
      </c>
      <c r="E31" s="9">
        <f t="shared" si="8"/>
        <v>3.6666666666666667E-2</v>
      </c>
      <c r="F31" s="9">
        <f t="shared" si="8"/>
        <v>1.2758333333333334</v>
      </c>
      <c r="G31" s="9">
        <f t="shared" si="8"/>
        <v>1.39</v>
      </c>
      <c r="H31" s="9">
        <f t="shared" si="8"/>
        <v>0.92666666666666664</v>
      </c>
      <c r="I31" s="9">
        <f t="shared" si="8"/>
        <v>0.13</v>
      </c>
      <c r="J31" s="9">
        <f t="shared" si="8"/>
        <v>1.375</v>
      </c>
      <c r="K31" s="9">
        <f t="shared" si="8"/>
        <v>1.8333333333333333E-2</v>
      </c>
      <c r="L31" s="9">
        <f t="shared" si="8"/>
        <v>0.90833333333333333</v>
      </c>
      <c r="M31" s="9">
        <f t="shared" si="8"/>
        <v>1.1666666666666667E-2</v>
      </c>
      <c r="N31" s="9">
        <f t="shared" si="8"/>
        <v>1.2733333333333334</v>
      </c>
      <c r="O31" s="9">
        <f t="shared" si="8"/>
        <v>1.42</v>
      </c>
      <c r="P31" s="9">
        <f t="shared" si="8"/>
        <v>0.45666666666666667</v>
      </c>
      <c r="Q31" s="9">
        <f t="shared" si="8"/>
        <v>0.60250000000000004</v>
      </c>
      <c r="R31" s="9">
        <f t="shared" si="8"/>
        <v>0.30916666666666665</v>
      </c>
      <c r="S31" s="9">
        <f t="shared" si="8"/>
        <v>1.2224999999999999</v>
      </c>
      <c r="T31" s="9">
        <f t="shared" si="8"/>
        <v>0.81166666666666665</v>
      </c>
      <c r="U31" s="9">
        <f t="shared" si="8"/>
        <v>0.22916666666666666</v>
      </c>
      <c r="V31" s="9">
        <f t="shared" si="8"/>
        <v>0.98416666666666663</v>
      </c>
      <c r="W31" s="16">
        <f t="shared" si="8"/>
        <v>8.7499999999999994E-2</v>
      </c>
      <c r="X31" s="9"/>
      <c r="Y31" s="13"/>
    </row>
    <row r="32" spans="1:26" s="5" customFormat="1">
      <c r="A32" s="8" t="s">
        <v>87</v>
      </c>
      <c r="B32" s="9">
        <f t="shared" ref="B32:W32" si="9">(B11-399)/1200</f>
        <v>7.5916666666666668</v>
      </c>
      <c r="C32" s="9">
        <f t="shared" si="9"/>
        <v>11.041666666666666</v>
      </c>
      <c r="D32" s="15">
        <f t="shared" si="9"/>
        <v>1.3174999999999999</v>
      </c>
      <c r="E32" s="9">
        <f t="shared" si="9"/>
        <v>1.2241666666666666</v>
      </c>
      <c r="F32" s="9">
        <f t="shared" si="9"/>
        <v>0.42583333333333334</v>
      </c>
      <c r="G32" s="9">
        <f t="shared" si="9"/>
        <v>1.1266666666666667</v>
      </c>
      <c r="H32" s="9">
        <f t="shared" si="9"/>
        <v>0.83666666666666667</v>
      </c>
      <c r="I32" s="9">
        <f t="shared" si="9"/>
        <v>1.4466666666666668</v>
      </c>
      <c r="J32" s="9">
        <f t="shared" si="9"/>
        <v>1.2250000000000001</v>
      </c>
      <c r="K32" s="9">
        <f t="shared" si="9"/>
        <v>0.95166666666666666</v>
      </c>
      <c r="L32" s="9">
        <f t="shared" si="9"/>
        <v>0.75166666666666671</v>
      </c>
      <c r="M32" s="9">
        <f t="shared" si="9"/>
        <v>0.99833333333333329</v>
      </c>
      <c r="N32" s="9">
        <f t="shared" si="9"/>
        <v>1.3458333333333334</v>
      </c>
      <c r="O32" s="9">
        <f t="shared" si="9"/>
        <v>0.86583333333333334</v>
      </c>
      <c r="P32" s="9">
        <f t="shared" si="9"/>
        <v>0.98833333333333329</v>
      </c>
      <c r="Q32" s="9">
        <f t="shared" si="9"/>
        <v>0.85333333333333339</v>
      </c>
      <c r="R32" s="9">
        <f t="shared" si="9"/>
        <v>1.21</v>
      </c>
      <c r="S32" s="9">
        <f t="shared" si="9"/>
        <v>0.95916666666666661</v>
      </c>
      <c r="T32" s="9">
        <f t="shared" si="9"/>
        <v>1.0225</v>
      </c>
      <c r="U32" s="9">
        <f t="shared" si="9"/>
        <v>1.0525</v>
      </c>
      <c r="V32" s="9">
        <f t="shared" si="9"/>
        <v>0.78833333333333333</v>
      </c>
      <c r="W32" s="16">
        <f t="shared" si="9"/>
        <v>1.1541666666666666</v>
      </c>
      <c r="X32" s="9"/>
      <c r="Y32" s="13"/>
    </row>
    <row r="33" spans="1:25" s="5" customFormat="1">
      <c r="A33" s="8" t="s">
        <v>88</v>
      </c>
      <c r="B33" s="9">
        <f t="shared" ref="B33:W33" si="10">(B12-399)/1200</f>
        <v>3.5833333333333335</v>
      </c>
      <c r="C33" s="9">
        <f t="shared" si="10"/>
        <v>4.2766666666666664</v>
      </c>
      <c r="D33" s="15">
        <f t="shared" si="10"/>
        <v>0.67500000000000004</v>
      </c>
      <c r="E33" s="9">
        <f t="shared" si="10"/>
        <v>0.16500000000000001</v>
      </c>
      <c r="F33" s="9">
        <f t="shared" si="10"/>
        <v>0.71916666666666662</v>
      </c>
      <c r="G33" s="9">
        <f t="shared" si="10"/>
        <v>1.0925</v>
      </c>
      <c r="H33" s="9">
        <f t="shared" si="10"/>
        <v>0.94</v>
      </c>
      <c r="I33" s="9">
        <f t="shared" si="10"/>
        <v>1.6125</v>
      </c>
      <c r="J33" s="9">
        <f t="shared" si="10"/>
        <v>1.2991666666666666</v>
      </c>
      <c r="K33" s="9">
        <f t="shared" si="10"/>
        <v>1.2683333333333333</v>
      </c>
      <c r="L33" s="9">
        <f t="shared" si="10"/>
        <v>5.4166666666666669E-2</v>
      </c>
      <c r="M33" s="9">
        <f t="shared" si="10"/>
        <v>1.0883333333333334</v>
      </c>
      <c r="N33" s="9">
        <f t="shared" si="10"/>
        <v>0.12916666666666668</v>
      </c>
      <c r="O33" s="9">
        <f t="shared" si="10"/>
        <v>0.66916666666666669</v>
      </c>
      <c r="P33" s="9">
        <f t="shared" si="10"/>
        <v>1.115</v>
      </c>
      <c r="Q33" s="9">
        <f t="shared" si="10"/>
        <v>0.98666666666666669</v>
      </c>
      <c r="R33" s="9">
        <f t="shared" si="10"/>
        <v>0.89500000000000002</v>
      </c>
      <c r="S33" s="9">
        <f t="shared" si="10"/>
        <v>1.3516666666666666</v>
      </c>
      <c r="T33" s="9">
        <f t="shared" si="10"/>
        <v>2.0191666666666666</v>
      </c>
      <c r="U33" s="9">
        <f t="shared" si="10"/>
        <v>1.1083333333333334</v>
      </c>
      <c r="V33" s="9">
        <f t="shared" si="10"/>
        <v>1.4075</v>
      </c>
      <c r="W33" s="16">
        <f t="shared" si="10"/>
        <v>-1.1666666666666667E-2</v>
      </c>
      <c r="X33" s="9"/>
      <c r="Y33" s="13"/>
    </row>
    <row r="34" spans="1:25" s="5" customFormat="1">
      <c r="A34" s="8" t="s">
        <v>89</v>
      </c>
      <c r="B34" s="9">
        <f t="shared" ref="B34:W34" si="11">(B13-399)/1200</f>
        <v>2.3725000000000001</v>
      </c>
      <c r="C34" s="9">
        <f t="shared" si="11"/>
        <v>2.8616666666666668</v>
      </c>
      <c r="D34" s="15">
        <f t="shared" si="11"/>
        <v>1.1375</v>
      </c>
      <c r="E34" s="9">
        <f t="shared" si="11"/>
        <v>1.3433333333333333</v>
      </c>
      <c r="F34" s="9">
        <f t="shared" si="11"/>
        <v>2.8966666666666665</v>
      </c>
      <c r="G34" s="9">
        <f t="shared" si="11"/>
        <v>1.0866666666666667</v>
      </c>
      <c r="H34" s="9">
        <f t="shared" si="11"/>
        <v>0.91249999999999998</v>
      </c>
      <c r="I34" s="9">
        <f t="shared" si="11"/>
        <v>1.0116666666666667</v>
      </c>
      <c r="J34" s="9">
        <f t="shared" si="11"/>
        <v>0.18583333333333332</v>
      </c>
      <c r="K34" s="9">
        <f t="shared" si="11"/>
        <v>1.0325</v>
      </c>
      <c r="L34" s="9">
        <f t="shared" si="11"/>
        <v>0.71416666666666662</v>
      </c>
      <c r="M34" s="9">
        <f t="shared" si="11"/>
        <v>1.0291666666666666</v>
      </c>
      <c r="N34" s="9">
        <f t="shared" si="11"/>
        <v>0.83750000000000002</v>
      </c>
      <c r="O34" s="9">
        <f t="shared" si="11"/>
        <v>0.8125</v>
      </c>
      <c r="P34" s="9">
        <f t="shared" si="11"/>
        <v>1.6241666666666668</v>
      </c>
      <c r="Q34" s="9">
        <f t="shared" si="11"/>
        <v>1.2633333333333334</v>
      </c>
      <c r="R34" s="9">
        <f t="shared" si="11"/>
        <v>1.6825000000000001</v>
      </c>
      <c r="S34" s="9">
        <f t="shared" si="11"/>
        <v>0.86333333333333329</v>
      </c>
      <c r="T34" s="9">
        <f t="shared" si="11"/>
        <v>0.60499999999999998</v>
      </c>
      <c r="U34" s="9">
        <f t="shared" si="11"/>
        <v>1.0725</v>
      </c>
      <c r="V34" s="9">
        <f t="shared" si="11"/>
        <v>2.6533333333333333</v>
      </c>
      <c r="W34" s="16">
        <f t="shared" si="11"/>
        <v>1.0241666666666667</v>
      </c>
      <c r="X34" s="9"/>
      <c r="Y34" s="13"/>
    </row>
    <row r="35" spans="1:25" s="5" customFormat="1">
      <c r="A35" s="8" t="s">
        <v>90</v>
      </c>
      <c r="B35" s="9">
        <f t="shared" ref="B35:W35" si="12">(B14-399)/1200</f>
        <v>2.0891666666666668</v>
      </c>
      <c r="C35" s="9">
        <f t="shared" si="12"/>
        <v>1.5866666666666667</v>
      </c>
      <c r="D35" s="15">
        <f t="shared" si="12"/>
        <v>1.2933333333333332</v>
      </c>
      <c r="E35" s="9">
        <f t="shared" si="12"/>
        <v>1.0549999999999999</v>
      </c>
      <c r="F35" s="9">
        <f t="shared" si="12"/>
        <v>0.63583333333333336</v>
      </c>
      <c r="G35" s="9">
        <f t="shared" si="12"/>
        <v>0.62083333333333335</v>
      </c>
      <c r="H35" s="9">
        <f t="shared" si="12"/>
        <v>0.80500000000000005</v>
      </c>
      <c r="I35" s="9">
        <f t="shared" si="12"/>
        <v>1.4483333333333333</v>
      </c>
      <c r="J35" s="9">
        <f t="shared" si="12"/>
        <v>0.72583333333333333</v>
      </c>
      <c r="K35" s="9">
        <f t="shared" si="12"/>
        <v>0.72</v>
      </c>
      <c r="L35" s="9">
        <f t="shared" si="12"/>
        <v>0.71333333333333337</v>
      </c>
      <c r="M35" s="9">
        <f t="shared" si="12"/>
        <v>0.97750000000000004</v>
      </c>
      <c r="N35" s="9">
        <f t="shared" si="12"/>
        <v>1.0149999999999999</v>
      </c>
      <c r="O35" s="9">
        <f t="shared" si="12"/>
        <v>0.68</v>
      </c>
      <c r="P35" s="9">
        <f t="shared" si="12"/>
        <v>0.94</v>
      </c>
      <c r="Q35" s="9">
        <f t="shared" si="12"/>
        <v>1.1375</v>
      </c>
      <c r="R35" s="9">
        <f t="shared" si="12"/>
        <v>0.91666666666666663</v>
      </c>
      <c r="S35" s="9">
        <f t="shared" si="12"/>
        <v>1.0008333333333332</v>
      </c>
      <c r="T35" s="9">
        <f t="shared" si="12"/>
        <v>0.73166666666666669</v>
      </c>
      <c r="U35" s="9">
        <f t="shared" si="12"/>
        <v>0.73333333333333328</v>
      </c>
      <c r="V35" s="9">
        <f t="shared" si="12"/>
        <v>2.6108333333333333</v>
      </c>
      <c r="W35" s="16">
        <f t="shared" si="12"/>
        <v>0.86916666666666664</v>
      </c>
      <c r="X35" s="9"/>
      <c r="Y35" s="13"/>
    </row>
    <row r="36" spans="1:25" s="5" customFormat="1">
      <c r="A36" s="8" t="s">
        <v>91</v>
      </c>
      <c r="B36" s="9">
        <f t="shared" ref="B36:W36" si="13">(B15-399)/1200</f>
        <v>1.51</v>
      </c>
      <c r="C36" s="9">
        <f t="shared" si="13"/>
        <v>1.6008333333333333</v>
      </c>
      <c r="D36" s="15">
        <f t="shared" si="13"/>
        <v>2.5625</v>
      </c>
      <c r="E36" s="9">
        <f t="shared" si="13"/>
        <v>1.1633333333333333</v>
      </c>
      <c r="F36" s="9">
        <f t="shared" si="13"/>
        <v>0.13333333333333333</v>
      </c>
      <c r="G36" s="9">
        <f t="shared" si="13"/>
        <v>1.0649999999999999</v>
      </c>
      <c r="H36" s="9">
        <f t="shared" si="13"/>
        <v>0.83166666666666667</v>
      </c>
      <c r="I36" s="9">
        <f t="shared" si="13"/>
        <v>1.1691666666666667</v>
      </c>
      <c r="J36" s="9">
        <f t="shared" si="13"/>
        <v>0.15833333333333333</v>
      </c>
      <c r="K36" s="9">
        <f t="shared" si="13"/>
        <v>1.0383333333333333</v>
      </c>
      <c r="L36" s="9">
        <f t="shared" si="13"/>
        <v>1.2524999999999999</v>
      </c>
      <c r="M36" s="9">
        <f t="shared" si="13"/>
        <v>1.0816666666666668</v>
      </c>
      <c r="N36" s="9">
        <f t="shared" si="13"/>
        <v>1.0991666666666666</v>
      </c>
      <c r="O36" s="9">
        <f t="shared" si="13"/>
        <v>0.86833333333333329</v>
      </c>
      <c r="P36" s="9">
        <f t="shared" si="13"/>
        <v>0.76666666666666672</v>
      </c>
      <c r="Q36" s="9">
        <f t="shared" si="13"/>
        <v>1.0900000000000001</v>
      </c>
      <c r="R36" s="9">
        <f t="shared" si="13"/>
        <v>0.68583333333333329</v>
      </c>
      <c r="S36" s="9">
        <f t="shared" si="13"/>
        <v>0.88749999999999996</v>
      </c>
      <c r="T36" s="9">
        <f t="shared" si="13"/>
        <v>0.53249999999999997</v>
      </c>
      <c r="U36" s="9">
        <f t="shared" si="13"/>
        <v>1.2575000000000001</v>
      </c>
      <c r="V36" s="9">
        <f t="shared" si="13"/>
        <v>1.1166666666666667</v>
      </c>
      <c r="W36" s="16">
        <f t="shared" si="13"/>
        <v>1.3225</v>
      </c>
      <c r="X36" s="9"/>
      <c r="Y36" s="13"/>
    </row>
    <row r="37" spans="1:25" s="5" customFormat="1">
      <c r="A37" s="8" t="s">
        <v>92</v>
      </c>
      <c r="B37" s="9"/>
      <c r="C37" s="9"/>
      <c r="D37" s="15">
        <f t="shared" ref="D37:W37" si="14">(D16-399)/1200</f>
        <v>1.5208333333333333</v>
      </c>
      <c r="E37" s="9">
        <f t="shared" si="14"/>
        <v>1.4133333333333333</v>
      </c>
      <c r="F37" s="9">
        <f t="shared" si="14"/>
        <v>-1.4166666666666666E-2</v>
      </c>
      <c r="G37" s="9">
        <f t="shared" si="14"/>
        <v>2.1749999999999998</v>
      </c>
      <c r="H37" s="9">
        <f t="shared" si="14"/>
        <v>-4.9166666666666664E-2</v>
      </c>
      <c r="I37" s="9">
        <f t="shared" si="14"/>
        <v>1.7491666666666668</v>
      </c>
      <c r="J37" s="9">
        <f t="shared" si="14"/>
        <v>2.1508333333333334</v>
      </c>
      <c r="K37" s="9">
        <f t="shared" si="14"/>
        <v>0.40833333333333333</v>
      </c>
      <c r="L37" s="9">
        <f t="shared" si="14"/>
        <v>0.44750000000000001</v>
      </c>
      <c r="M37" s="9">
        <f t="shared" si="14"/>
        <v>1.3033333333333332</v>
      </c>
      <c r="N37" s="9">
        <f t="shared" si="14"/>
        <v>1.41</v>
      </c>
      <c r="O37" s="9">
        <f t="shared" si="14"/>
        <v>0.97666666666666668</v>
      </c>
      <c r="P37" s="9">
        <f t="shared" si="14"/>
        <v>0.97083333333333333</v>
      </c>
      <c r="Q37" s="9">
        <f t="shared" si="14"/>
        <v>1.0366666666666666</v>
      </c>
      <c r="R37" s="9">
        <f t="shared" si="14"/>
        <v>1.365</v>
      </c>
      <c r="S37" s="9">
        <f t="shared" si="14"/>
        <v>0.97916666666666663</v>
      </c>
      <c r="T37" s="9">
        <f t="shared" si="14"/>
        <v>0.97750000000000004</v>
      </c>
      <c r="U37" s="9">
        <f t="shared" si="14"/>
        <v>0.91166666666666663</v>
      </c>
      <c r="V37" s="9">
        <f t="shared" si="14"/>
        <v>2.7124999999999999</v>
      </c>
      <c r="W37" s="16">
        <f t="shared" si="14"/>
        <v>1.6333333333333333</v>
      </c>
      <c r="X37" s="9"/>
      <c r="Y37" s="13"/>
    </row>
    <row r="38" spans="1:25" s="5" customFormat="1" ht="15" thickBot="1">
      <c r="A38" s="8" t="s">
        <v>93</v>
      </c>
      <c r="B38" s="9"/>
      <c r="C38" s="9"/>
      <c r="D38" s="17">
        <f t="shared" ref="D38:W38" si="15">(D17-399)/1200</f>
        <v>1.4033333333333333</v>
      </c>
      <c r="E38" s="18">
        <f t="shared" si="15"/>
        <v>1.2641666666666667</v>
      </c>
      <c r="F38" s="18">
        <f t="shared" si="15"/>
        <v>1.5608333333333333</v>
      </c>
      <c r="G38" s="18">
        <f t="shared" si="15"/>
        <v>1.2208333333333334</v>
      </c>
      <c r="H38" s="18">
        <f t="shared" si="15"/>
        <v>1.8466666666666667</v>
      </c>
      <c r="I38" s="18">
        <f t="shared" si="15"/>
        <v>1.3608333333333333</v>
      </c>
      <c r="J38" s="18">
        <f t="shared" si="15"/>
        <v>-4.4999999999999998E-2</v>
      </c>
      <c r="K38" s="18">
        <f t="shared" si="15"/>
        <v>1.1716666666666666</v>
      </c>
      <c r="L38" s="18">
        <f t="shared" si="15"/>
        <v>1.0658333333333334</v>
      </c>
      <c r="M38" s="18">
        <f t="shared" si="15"/>
        <v>1.2549999999999999</v>
      </c>
      <c r="N38" s="18">
        <f t="shared" si="15"/>
        <v>1.0125</v>
      </c>
      <c r="O38" s="18">
        <f t="shared" si="15"/>
        <v>1.2466666666666666</v>
      </c>
      <c r="P38" s="18">
        <f t="shared" si="15"/>
        <v>1.4550000000000001</v>
      </c>
      <c r="Q38" s="18">
        <f t="shared" si="15"/>
        <v>1.1108333333333333</v>
      </c>
      <c r="R38" s="18">
        <f t="shared" si="15"/>
        <v>4.2166666666666668</v>
      </c>
      <c r="S38" s="18">
        <f t="shared" si="15"/>
        <v>1.2350000000000001</v>
      </c>
      <c r="T38" s="18">
        <f t="shared" si="15"/>
        <v>2.3058333333333332</v>
      </c>
      <c r="U38" s="18">
        <f t="shared" si="15"/>
        <v>1.375</v>
      </c>
      <c r="V38" s="18">
        <f t="shared" si="15"/>
        <v>1.655</v>
      </c>
      <c r="W38" s="19">
        <f t="shared" si="15"/>
        <v>1.3766666666666667</v>
      </c>
      <c r="X38" s="9"/>
      <c r="Y38" s="13"/>
    </row>
    <row r="39" spans="1:25" s="5" customFormat="1"/>
    <row r="40" spans="1:25" s="5" customFormat="1"/>
    <row r="41" spans="1:25">
      <c r="B41" s="22" t="s">
        <v>102</v>
      </c>
    </row>
    <row r="42" spans="1:25">
      <c r="A42" s="4" t="s">
        <v>53</v>
      </c>
      <c r="B42" s="4" t="s">
        <v>54</v>
      </c>
      <c r="C42" s="4" t="s">
        <v>55</v>
      </c>
      <c r="D42" s="4" t="s">
        <v>56</v>
      </c>
      <c r="E42" s="4" t="s">
        <v>57</v>
      </c>
      <c r="F42" s="4" t="s">
        <v>58</v>
      </c>
      <c r="G42" s="4" t="s">
        <v>59</v>
      </c>
      <c r="H42" s="4" t="s">
        <v>60</v>
      </c>
      <c r="I42" s="4" t="s">
        <v>61</v>
      </c>
      <c r="J42" s="4" t="s">
        <v>62</v>
      </c>
      <c r="K42" s="4" t="s">
        <v>63</v>
      </c>
      <c r="L42" s="4" t="s">
        <v>64</v>
      </c>
      <c r="M42" s="4" t="s">
        <v>65</v>
      </c>
      <c r="N42" s="4" t="s">
        <v>66</v>
      </c>
      <c r="O42" s="4" t="s">
        <v>67</v>
      </c>
      <c r="P42" s="4" t="s">
        <v>68</v>
      </c>
      <c r="Q42" s="4" t="s">
        <v>69</v>
      </c>
      <c r="R42" s="4" t="s">
        <v>70</v>
      </c>
      <c r="S42" s="4" t="s">
        <v>71</v>
      </c>
      <c r="T42" s="4" t="s">
        <v>72</v>
      </c>
      <c r="U42" s="4" t="s">
        <v>73</v>
      </c>
      <c r="V42" s="4" t="s">
        <v>74</v>
      </c>
      <c r="W42" s="4" t="s">
        <v>75</v>
      </c>
    </row>
    <row r="43" spans="1:25">
      <c r="A43" s="4" t="s">
        <v>78</v>
      </c>
      <c r="B43" s="1">
        <v>2158</v>
      </c>
      <c r="C43" s="1">
        <v>1865</v>
      </c>
      <c r="D43" s="23">
        <f>(D2-1598)/5.051</f>
        <v>-152.24707978618096</v>
      </c>
      <c r="E43" s="23">
        <f t="shared" ref="E43:W43" si="16">(E2-1598)/5.051</f>
        <v>-183.52801425460305</v>
      </c>
      <c r="F43" s="23">
        <f t="shared" si="16"/>
        <v>246.08988319144723</v>
      </c>
      <c r="G43" s="23">
        <f t="shared" si="16"/>
        <v>191.84319936646207</v>
      </c>
      <c r="H43" s="23">
        <f t="shared" si="16"/>
        <v>104.53375569194219</v>
      </c>
      <c r="I43" s="23">
        <f t="shared" si="16"/>
        <v>155.61274995050485</v>
      </c>
      <c r="J43" s="23">
        <f t="shared" si="16"/>
        <v>69.491189863393387</v>
      </c>
      <c r="K43" s="23">
        <f t="shared" si="16"/>
        <v>-1.9798059790140565</v>
      </c>
      <c r="L43" s="23">
        <f t="shared" si="16"/>
        <v>110.67115422688576</v>
      </c>
      <c r="M43" s="23">
        <f t="shared" si="16"/>
        <v>118.9863393387448</v>
      </c>
      <c r="N43" s="23">
        <f t="shared" si="16"/>
        <v>63.947733122154027</v>
      </c>
      <c r="O43" s="23">
        <f t="shared" si="16"/>
        <v>346.86200752326272</v>
      </c>
      <c r="P43" s="23">
        <f t="shared" si="16"/>
        <v>69.689170461294793</v>
      </c>
      <c r="Q43" s="23">
        <f t="shared" si="16"/>
        <v>21.183923975450405</v>
      </c>
      <c r="R43" s="23">
        <f t="shared" si="16"/>
        <v>174.6188873490398</v>
      </c>
      <c r="S43" s="23">
        <f t="shared" si="16"/>
        <v>301.32647000593943</v>
      </c>
      <c r="T43" s="23">
        <f t="shared" si="16"/>
        <v>174.42090675113838</v>
      </c>
      <c r="U43" s="23">
        <f t="shared" si="16"/>
        <v>40.190061373985351</v>
      </c>
      <c r="V43" s="23">
        <f t="shared" si="16"/>
        <v>72.262918234013071</v>
      </c>
      <c r="W43" s="23">
        <f t="shared" si="16"/>
        <v>69.293209265491981</v>
      </c>
    </row>
    <row r="44" spans="1:25">
      <c r="A44" s="4" t="s">
        <v>79</v>
      </c>
      <c r="B44" s="1">
        <v>2587</v>
      </c>
      <c r="C44" s="1">
        <v>2184</v>
      </c>
      <c r="D44" s="23">
        <f t="shared" ref="D44:W44" si="17">(D3-1598)/5.051</f>
        <v>-77.212433181548207</v>
      </c>
      <c r="E44" s="23">
        <f t="shared" si="17"/>
        <v>201.14828746782814</v>
      </c>
      <c r="F44" s="23">
        <f t="shared" si="17"/>
        <v>4.7515343496337357</v>
      </c>
      <c r="G44" s="23">
        <f t="shared" si="17"/>
        <v>5.5434567412393587</v>
      </c>
      <c r="H44" s="23">
        <f t="shared" si="17"/>
        <v>-99.58424074440704</v>
      </c>
      <c r="I44" s="23">
        <f t="shared" si="17"/>
        <v>199.16848148881408</v>
      </c>
      <c r="J44" s="23">
        <f t="shared" si="17"/>
        <v>-76.816471985745395</v>
      </c>
      <c r="K44" s="23">
        <f t="shared" si="17"/>
        <v>62.363888338942779</v>
      </c>
      <c r="L44" s="23">
        <f t="shared" si="17"/>
        <v>512.76974856464062</v>
      </c>
      <c r="M44" s="23">
        <f t="shared" si="17"/>
        <v>-14.452583646802612</v>
      </c>
      <c r="N44" s="23">
        <f t="shared" si="17"/>
        <v>71.668976440308853</v>
      </c>
      <c r="O44" s="23">
        <f t="shared" si="17"/>
        <v>-220.5503860621659</v>
      </c>
      <c r="P44" s="23">
        <f t="shared" si="17"/>
        <v>246.68382498515146</v>
      </c>
      <c r="Q44" s="23">
        <f t="shared" si="17"/>
        <v>322.90635517719261</v>
      </c>
      <c r="R44" s="23">
        <f t="shared" si="17"/>
        <v>50.485052464858441</v>
      </c>
      <c r="S44" s="23">
        <f t="shared" si="17"/>
        <v>-48.703227083745794</v>
      </c>
      <c r="T44" s="23">
        <f t="shared" si="17"/>
        <v>-45.931498713126111</v>
      </c>
      <c r="U44" s="23">
        <f t="shared" si="17"/>
        <v>-32.270837457929119</v>
      </c>
      <c r="V44" s="23">
        <f t="shared" si="17"/>
        <v>0.39596119580281131</v>
      </c>
      <c r="W44" s="23">
        <f t="shared" si="17"/>
        <v>21.381904573351811</v>
      </c>
    </row>
    <row r="45" spans="1:25">
      <c r="A45" s="4" t="s">
        <v>80</v>
      </c>
      <c r="B45" s="1">
        <v>107450</v>
      </c>
      <c r="C45" s="1">
        <v>103316</v>
      </c>
      <c r="D45" s="23">
        <f t="shared" ref="D45:W45" si="18">(D4-1598)/5.051</f>
        <v>-181.54820827558899</v>
      </c>
      <c r="E45" s="23">
        <f t="shared" si="18"/>
        <v>-184.51791724411007</v>
      </c>
      <c r="F45" s="23">
        <f t="shared" si="18"/>
        <v>-251.6333399326866</v>
      </c>
      <c r="G45" s="23">
        <f t="shared" si="18"/>
        <v>144.72381706592753</v>
      </c>
      <c r="H45" s="23">
        <f t="shared" si="18"/>
        <v>-7.523262720253415</v>
      </c>
      <c r="I45" s="23">
        <f t="shared" si="18"/>
        <v>-143.93189467432191</v>
      </c>
      <c r="J45" s="23">
        <f t="shared" si="18"/>
        <v>-192.83310235596912</v>
      </c>
      <c r="K45" s="23">
        <f t="shared" si="18"/>
        <v>-169.27341120570185</v>
      </c>
      <c r="L45" s="23">
        <f t="shared" si="18"/>
        <v>578.89526826371014</v>
      </c>
      <c r="M45" s="23">
        <f t="shared" si="18"/>
        <v>446.44624826766977</v>
      </c>
      <c r="N45" s="23">
        <f t="shared" si="18"/>
        <v>191.44723817065926</v>
      </c>
      <c r="O45" s="23">
        <f t="shared" si="18"/>
        <v>-50.683033062759847</v>
      </c>
      <c r="P45" s="23">
        <f t="shared" si="18"/>
        <v>343.89229855474161</v>
      </c>
      <c r="Q45" s="23">
        <f t="shared" si="18"/>
        <v>-113.64086319540685</v>
      </c>
      <c r="R45" s="23">
        <f t="shared" si="18"/>
        <v>33.062759849534743</v>
      </c>
      <c r="S45" s="23">
        <f t="shared" si="18"/>
        <v>-153.03900217778659</v>
      </c>
      <c r="T45" s="23">
        <f t="shared" si="18"/>
        <v>78.796277964759454</v>
      </c>
      <c r="U45" s="23">
        <f t="shared" si="18"/>
        <v>-24.351613541872897</v>
      </c>
      <c r="V45" s="23">
        <f t="shared" si="18"/>
        <v>34.844585230647397</v>
      </c>
      <c r="W45" s="23">
        <f t="shared" si="18"/>
        <v>4.5535537517323297</v>
      </c>
    </row>
    <row r="46" spans="1:25">
      <c r="A46" s="4" t="s">
        <v>81</v>
      </c>
      <c r="B46" s="1">
        <v>99143</v>
      </c>
      <c r="C46" s="1">
        <v>102494</v>
      </c>
      <c r="D46" s="23">
        <f t="shared" ref="D46:W46" si="19">(D5-1598)/5.051</f>
        <v>-165.31379924767373</v>
      </c>
      <c r="E46" s="23">
        <f t="shared" si="19"/>
        <v>-12.868738863591368</v>
      </c>
      <c r="F46" s="23">
        <f t="shared" si="19"/>
        <v>146.50564244704017</v>
      </c>
      <c r="G46" s="23">
        <f t="shared" si="19"/>
        <v>41.773906157196592</v>
      </c>
      <c r="H46" s="23">
        <f t="shared" si="19"/>
        <v>118.19441694713917</v>
      </c>
      <c r="I46" s="23">
        <f t="shared" si="19"/>
        <v>44.941595723619081</v>
      </c>
      <c r="J46" s="23">
        <f t="shared" si="19"/>
        <v>27.123341912492574</v>
      </c>
      <c r="K46" s="23">
        <f t="shared" si="19"/>
        <v>22.767768758661649</v>
      </c>
      <c r="L46" s="23">
        <f t="shared" si="19"/>
        <v>-95.426648188477529</v>
      </c>
      <c r="M46" s="23">
        <f t="shared" si="19"/>
        <v>14.650564244704018</v>
      </c>
      <c r="N46" s="23">
        <f t="shared" si="19"/>
        <v>-24.5495941397743</v>
      </c>
      <c r="O46" s="23">
        <f t="shared" si="19"/>
        <v>13.26470005939418</v>
      </c>
      <c r="P46" s="23">
        <f t="shared" si="19"/>
        <v>-234.60700851316571</v>
      </c>
      <c r="Q46" s="23">
        <f t="shared" si="19"/>
        <v>-15.442486636309642</v>
      </c>
      <c r="R46" s="23">
        <f t="shared" si="19"/>
        <v>-38.210255394971291</v>
      </c>
      <c r="S46" s="23">
        <f t="shared" si="19"/>
        <v>-22.965749356563055</v>
      </c>
      <c r="T46" s="23">
        <f t="shared" si="19"/>
        <v>-3.7616313601267075</v>
      </c>
      <c r="U46" s="23">
        <f t="shared" si="19"/>
        <v>-0.79192239160562261</v>
      </c>
      <c r="V46" s="23">
        <f t="shared" si="19"/>
        <v>51.078994258562659</v>
      </c>
      <c r="W46" s="23">
        <f t="shared" si="19"/>
        <v>86.121560087111462</v>
      </c>
    </row>
    <row r="47" spans="1:25">
      <c r="A47" s="4" t="s">
        <v>82</v>
      </c>
      <c r="B47" s="1">
        <v>70679</v>
      </c>
      <c r="C47" s="1">
        <v>99621</v>
      </c>
      <c r="D47" s="23">
        <f t="shared" ref="D47:W47" si="20">(D6-1598)/5.051</f>
        <v>109.68125123737873</v>
      </c>
      <c r="E47" s="23">
        <f t="shared" si="20"/>
        <v>-52.266877845971095</v>
      </c>
      <c r="F47" s="23">
        <f t="shared" si="20"/>
        <v>-37.814294199168479</v>
      </c>
      <c r="G47" s="23">
        <f t="shared" si="20"/>
        <v>50.287071866957035</v>
      </c>
      <c r="H47" s="23">
        <f t="shared" si="20"/>
        <v>215.79885171253216</v>
      </c>
      <c r="I47" s="23">
        <f t="shared" si="20"/>
        <v>-249.85151455157393</v>
      </c>
      <c r="J47" s="23">
        <f t="shared" si="20"/>
        <v>180.16234409027913</v>
      </c>
      <c r="K47" s="23">
        <f t="shared" si="20"/>
        <v>3.1676895664224904</v>
      </c>
      <c r="L47" s="23">
        <f t="shared" si="20"/>
        <v>217.58067709364482</v>
      </c>
      <c r="M47" s="23">
        <f t="shared" si="20"/>
        <v>54.048703227083742</v>
      </c>
      <c r="N47" s="23">
        <f t="shared" si="20"/>
        <v>-17.224312017422292</v>
      </c>
      <c r="O47" s="23">
        <f t="shared" si="20"/>
        <v>-118.9863393387448</v>
      </c>
      <c r="P47" s="23">
        <f t="shared" si="20"/>
        <v>72.460898831914477</v>
      </c>
      <c r="Q47" s="23">
        <f t="shared" si="20"/>
        <v>-228.66759057612353</v>
      </c>
      <c r="R47" s="23">
        <f t="shared" si="20"/>
        <v>200.35636507622252</v>
      </c>
      <c r="S47" s="23">
        <f t="shared" si="20"/>
        <v>-26.529400118788359</v>
      </c>
      <c r="T47" s="23">
        <f t="shared" si="20"/>
        <v>-38.012274797069885</v>
      </c>
      <c r="U47" s="23">
        <f t="shared" si="20"/>
        <v>23.757671748168679</v>
      </c>
      <c r="V47" s="23">
        <f t="shared" si="20"/>
        <v>-199.56444268461689</v>
      </c>
      <c r="W47" s="23">
        <f t="shared" si="20"/>
        <v>-206.49376361116609</v>
      </c>
    </row>
    <row r="48" spans="1:25">
      <c r="A48" s="4" t="s">
        <v>83</v>
      </c>
      <c r="B48" s="1">
        <v>60084</v>
      </c>
      <c r="C48" s="1">
        <v>100315</v>
      </c>
      <c r="D48" s="23">
        <f t="shared" ref="D48:W48" si="21">(D7-1598)/5.051</f>
        <v>57.216392793506238</v>
      </c>
      <c r="E48" s="23">
        <f t="shared" si="21"/>
        <v>40.784003167689562</v>
      </c>
      <c r="F48" s="23">
        <f t="shared" si="21"/>
        <v>-78.004355573153831</v>
      </c>
      <c r="G48" s="23">
        <f t="shared" si="21"/>
        <v>28.509206097802416</v>
      </c>
      <c r="H48" s="23">
        <f t="shared" si="21"/>
        <v>-94.436745198970499</v>
      </c>
      <c r="I48" s="23">
        <f t="shared" si="21"/>
        <v>15.640467234211046</v>
      </c>
      <c r="J48" s="23">
        <f t="shared" si="21"/>
        <v>44.545634527816276</v>
      </c>
      <c r="K48" s="23">
        <f t="shared" si="21"/>
        <v>14.848544842605424</v>
      </c>
      <c r="L48" s="23">
        <f t="shared" si="21"/>
        <v>-110.86913482478717</v>
      </c>
      <c r="M48" s="23">
        <f t="shared" si="21"/>
        <v>-2.1777865769154623</v>
      </c>
      <c r="N48" s="23">
        <f t="shared" si="21"/>
        <v>-74.242724213027117</v>
      </c>
      <c r="O48" s="23">
        <f t="shared" si="21"/>
        <v>7.9192239160562261</v>
      </c>
      <c r="P48" s="23">
        <f t="shared" si="21"/>
        <v>46.129479311027517</v>
      </c>
      <c r="Q48" s="23">
        <f t="shared" si="21"/>
        <v>0</v>
      </c>
      <c r="R48" s="23">
        <f t="shared" si="21"/>
        <v>318.35280142546031</v>
      </c>
      <c r="S48" s="23">
        <f t="shared" si="21"/>
        <v>-54.048703227083742</v>
      </c>
      <c r="T48" s="23">
        <f t="shared" si="21"/>
        <v>-52.464858443872501</v>
      </c>
      <c r="U48" s="23">
        <f t="shared" si="21"/>
        <v>4.9495149475351417</v>
      </c>
      <c r="V48" s="23">
        <f t="shared" si="21"/>
        <v>130.27123341912491</v>
      </c>
      <c r="W48" s="23">
        <f t="shared" si="21"/>
        <v>14.848544842605424</v>
      </c>
    </row>
    <row r="49" spans="1:23">
      <c r="A49" s="4" t="s">
        <v>84</v>
      </c>
      <c r="B49" s="1">
        <v>36673</v>
      </c>
      <c r="C49" s="1">
        <v>55316</v>
      </c>
      <c r="D49" s="23">
        <f t="shared" ref="D49:W49" si="22">(D8-1598)/5.051</f>
        <v>-213.0271233419125</v>
      </c>
      <c r="E49" s="23">
        <f t="shared" si="22"/>
        <v>-211.64125915660264</v>
      </c>
      <c r="F49" s="23">
        <f t="shared" si="22"/>
        <v>43.951692734112058</v>
      </c>
      <c r="G49" s="23">
        <f t="shared" si="22"/>
        <v>-17.224312017422292</v>
      </c>
      <c r="H49" s="23">
        <f t="shared" si="22"/>
        <v>133.0429617897446</v>
      </c>
      <c r="I49" s="23">
        <f t="shared" si="22"/>
        <v>33.458721045337555</v>
      </c>
      <c r="J49" s="23">
        <f t="shared" si="22"/>
        <v>174.42090675113838</v>
      </c>
      <c r="K49" s="23">
        <f t="shared" si="22"/>
        <v>-61.571965947337162</v>
      </c>
      <c r="L49" s="23">
        <f t="shared" si="22"/>
        <v>139.18036032468817</v>
      </c>
      <c r="M49" s="23">
        <f t="shared" si="22"/>
        <v>-45.139576321520487</v>
      </c>
      <c r="N49" s="23">
        <f t="shared" si="22"/>
        <v>-50.287071866957035</v>
      </c>
      <c r="O49" s="23">
        <f t="shared" si="22"/>
        <v>-85.131657097604432</v>
      </c>
      <c r="P49" s="23">
        <f t="shared" si="22"/>
        <v>197.38665610770144</v>
      </c>
      <c r="Q49" s="23">
        <f t="shared" si="22"/>
        <v>-208.47356959018015</v>
      </c>
      <c r="R49" s="23">
        <f t="shared" si="22"/>
        <v>78.202336171055236</v>
      </c>
      <c r="S49" s="23">
        <f t="shared" si="22"/>
        <v>-105.52365868144922</v>
      </c>
      <c r="T49" s="23">
        <f t="shared" si="22"/>
        <v>-70.283112254999011</v>
      </c>
      <c r="U49" s="23">
        <f t="shared" si="22"/>
        <v>-149.27737081765986</v>
      </c>
      <c r="V49" s="23">
        <f t="shared" si="22"/>
        <v>79.588200356365078</v>
      </c>
      <c r="W49" s="23">
        <f t="shared" si="22"/>
        <v>210.0574143733914</v>
      </c>
    </row>
    <row r="50" spans="1:23">
      <c r="A50" s="4" t="s">
        <v>85</v>
      </c>
      <c r="B50" s="1">
        <v>22519</v>
      </c>
      <c r="C50" s="1">
        <v>51116</v>
      </c>
      <c r="D50" s="23">
        <f t="shared" ref="D50:W50" si="23">(D9-1598)/5.051</f>
        <v>-56.028509206097802</v>
      </c>
      <c r="E50" s="23">
        <f t="shared" si="23"/>
        <v>-3.9596119580281131</v>
      </c>
      <c r="F50" s="23">
        <f t="shared" si="23"/>
        <v>16.432389625816668</v>
      </c>
      <c r="G50" s="23">
        <f t="shared" si="23"/>
        <v>9.1071075034646594</v>
      </c>
      <c r="H50" s="23">
        <f t="shared" si="23"/>
        <v>399.32686596713523</v>
      </c>
      <c r="I50" s="23">
        <f t="shared" si="23"/>
        <v>-47.119382300534546</v>
      </c>
      <c r="J50" s="23">
        <f t="shared" si="23"/>
        <v>-239.16056226489803</v>
      </c>
      <c r="K50" s="23">
        <f t="shared" si="23"/>
        <v>9.5030686992674713</v>
      </c>
      <c r="L50" s="23">
        <f t="shared" si="23"/>
        <v>466.24430805781031</v>
      </c>
      <c r="M50" s="23">
        <f t="shared" si="23"/>
        <v>27.717283706196792</v>
      </c>
      <c r="N50" s="23">
        <f t="shared" si="23"/>
        <v>-51.474955454365471</v>
      </c>
      <c r="O50" s="23">
        <f t="shared" si="23"/>
        <v>-65.333597307463862</v>
      </c>
      <c r="P50" s="23">
        <f t="shared" si="23"/>
        <v>199.9604038804197</v>
      </c>
      <c r="Q50" s="23">
        <f t="shared" si="23"/>
        <v>-26.529400118788359</v>
      </c>
      <c r="R50" s="23">
        <f t="shared" si="23"/>
        <v>67.511383884379327</v>
      </c>
      <c r="S50" s="23">
        <f t="shared" si="23"/>
        <v>-17.81825381112651</v>
      </c>
      <c r="T50" s="23">
        <f t="shared" si="23"/>
        <v>62.363888338942779</v>
      </c>
      <c r="U50" s="23">
        <f t="shared" si="23"/>
        <v>12.472777667788556</v>
      </c>
      <c r="V50" s="23">
        <f t="shared" si="23"/>
        <v>-207.48366660067313</v>
      </c>
      <c r="W50" s="23">
        <f t="shared" si="23"/>
        <v>13.066719461492774</v>
      </c>
    </row>
    <row r="51" spans="1:23">
      <c r="A51" s="4" t="s">
        <v>86</v>
      </c>
      <c r="B51" s="1">
        <v>12147</v>
      </c>
      <c r="C51" s="1">
        <v>28100</v>
      </c>
      <c r="D51" s="23">
        <f t="shared" ref="D51:W51" si="24">(D10-1598)/5.051</f>
        <v>10.690952286675905</v>
      </c>
      <c r="E51" s="23">
        <f t="shared" si="24"/>
        <v>-228.66759057612353</v>
      </c>
      <c r="F51" s="23">
        <f t="shared" si="24"/>
        <v>65.729558503266674</v>
      </c>
      <c r="G51" s="23">
        <f t="shared" si="24"/>
        <v>92.852900415759251</v>
      </c>
      <c r="H51" s="23">
        <f t="shared" si="24"/>
        <v>-17.224312017422292</v>
      </c>
      <c r="I51" s="23">
        <f t="shared" si="24"/>
        <v>-206.49376361116609</v>
      </c>
      <c r="J51" s="23">
        <f t="shared" si="24"/>
        <v>89.289249653533957</v>
      </c>
      <c r="K51" s="23">
        <f t="shared" si="24"/>
        <v>-233.02316372995446</v>
      </c>
      <c r="L51" s="23">
        <f t="shared" si="24"/>
        <v>-21.579885171253217</v>
      </c>
      <c r="M51" s="23">
        <f t="shared" si="24"/>
        <v>-234.60700851316571</v>
      </c>
      <c r="N51" s="23">
        <f t="shared" si="24"/>
        <v>65.135616709562456</v>
      </c>
      <c r="O51" s="23">
        <f t="shared" si="24"/>
        <v>99.980201940209852</v>
      </c>
      <c r="P51" s="23">
        <f t="shared" si="24"/>
        <v>-128.88536923381508</v>
      </c>
      <c r="Q51" s="23">
        <f t="shared" si="24"/>
        <v>-94.238764601069093</v>
      </c>
      <c r="R51" s="23">
        <f t="shared" si="24"/>
        <v>-163.92793506236387</v>
      </c>
      <c r="S51" s="23">
        <f t="shared" si="24"/>
        <v>53.058800237576719</v>
      </c>
      <c r="T51" s="23">
        <f t="shared" si="24"/>
        <v>-44.545634527816276</v>
      </c>
      <c r="U51" s="23">
        <f t="shared" si="24"/>
        <v>-182.93407246089882</v>
      </c>
      <c r="V51" s="23">
        <f t="shared" si="24"/>
        <v>-3.563650762225302</v>
      </c>
      <c r="W51" s="23">
        <f t="shared" si="24"/>
        <v>-216.59077410413778</v>
      </c>
    </row>
    <row r="52" spans="1:23">
      <c r="A52" s="4" t="s">
        <v>87</v>
      </c>
      <c r="B52" s="1">
        <v>9509</v>
      </c>
      <c r="C52" s="1">
        <v>13649</v>
      </c>
      <c r="D52" s="23">
        <f t="shared" ref="D52:W52" si="25">(D11-1598)/5.051</f>
        <v>75.628588398336959</v>
      </c>
      <c r="E52" s="23">
        <f t="shared" si="25"/>
        <v>53.454761433379524</v>
      </c>
      <c r="F52" s="23">
        <f t="shared" si="25"/>
        <v>-136.21065135616709</v>
      </c>
      <c r="G52" s="23">
        <f t="shared" si="25"/>
        <v>30.291031478915066</v>
      </c>
      <c r="H52" s="23">
        <f t="shared" si="25"/>
        <v>-38.606216590774103</v>
      </c>
      <c r="I52" s="23">
        <f t="shared" si="25"/>
        <v>106.31558107305484</v>
      </c>
      <c r="J52" s="23">
        <f t="shared" si="25"/>
        <v>53.65274203128093</v>
      </c>
      <c r="K52" s="23">
        <f t="shared" si="25"/>
        <v>-11.284894080380122</v>
      </c>
      <c r="L52" s="23">
        <f t="shared" si="25"/>
        <v>-58.800237576717478</v>
      </c>
      <c r="M52" s="23">
        <f t="shared" si="25"/>
        <v>-0.19798059790140565</v>
      </c>
      <c r="N52" s="23">
        <f t="shared" si="25"/>
        <v>82.359928726984748</v>
      </c>
      <c r="O52" s="23">
        <f t="shared" si="25"/>
        <v>-31.676895664224904</v>
      </c>
      <c r="P52" s="23">
        <f t="shared" si="25"/>
        <v>-2.5737477727182734</v>
      </c>
      <c r="Q52" s="23">
        <f t="shared" si="25"/>
        <v>-34.646604632745991</v>
      </c>
      <c r="R52" s="23">
        <f t="shared" si="25"/>
        <v>50.089091269055629</v>
      </c>
      <c r="S52" s="23">
        <f t="shared" si="25"/>
        <v>-9.5030686992674713</v>
      </c>
      <c r="T52" s="23">
        <f t="shared" si="25"/>
        <v>5.5434567412393587</v>
      </c>
      <c r="U52" s="23">
        <f t="shared" si="25"/>
        <v>12.670758265689962</v>
      </c>
      <c r="V52" s="23">
        <f t="shared" si="25"/>
        <v>-50.089091269055629</v>
      </c>
      <c r="W52" s="23">
        <f t="shared" si="25"/>
        <v>36.824391209661449</v>
      </c>
    </row>
    <row r="53" spans="1:23">
      <c r="A53" s="4" t="s">
        <v>88</v>
      </c>
      <c r="B53" s="1">
        <v>4699</v>
      </c>
      <c r="C53" s="1">
        <v>5531</v>
      </c>
      <c r="D53" s="23">
        <f t="shared" ref="D53:W53" si="26">(D12-1598)/5.051</f>
        <v>-77.014452583646801</v>
      </c>
      <c r="E53" s="23">
        <f t="shared" si="26"/>
        <v>-198.17857849930706</v>
      </c>
      <c r="F53" s="23">
        <f t="shared" si="26"/>
        <v>-66.521480894872298</v>
      </c>
      <c r="G53" s="23">
        <f t="shared" si="26"/>
        <v>22.173826964957435</v>
      </c>
      <c r="H53" s="23">
        <f t="shared" si="26"/>
        <v>-14.056622450999802</v>
      </c>
      <c r="I53" s="23">
        <f t="shared" si="26"/>
        <v>145.71372005543455</v>
      </c>
      <c r="J53" s="23">
        <f t="shared" si="26"/>
        <v>71.273015244506041</v>
      </c>
      <c r="K53" s="23">
        <f t="shared" si="26"/>
        <v>63.947733122154027</v>
      </c>
      <c r="L53" s="23">
        <f t="shared" si="26"/>
        <v>-224.50999802019402</v>
      </c>
      <c r="M53" s="23">
        <f t="shared" si="26"/>
        <v>21.183923975450405</v>
      </c>
      <c r="N53" s="23">
        <f t="shared" si="26"/>
        <v>-206.69174420906751</v>
      </c>
      <c r="O53" s="23">
        <f t="shared" si="26"/>
        <v>-78.400316768956642</v>
      </c>
      <c r="P53" s="23">
        <f t="shared" si="26"/>
        <v>27.519303108295386</v>
      </c>
      <c r="Q53" s="23">
        <f t="shared" si="26"/>
        <v>-2.9697089685210849</v>
      </c>
      <c r="R53" s="23">
        <f t="shared" si="26"/>
        <v>-24.747574737675706</v>
      </c>
      <c r="S53" s="23">
        <f t="shared" si="26"/>
        <v>83.74579291229459</v>
      </c>
      <c r="T53" s="23">
        <f t="shared" si="26"/>
        <v>242.32825183132053</v>
      </c>
      <c r="U53" s="23">
        <f t="shared" si="26"/>
        <v>25.935458325084142</v>
      </c>
      <c r="V53" s="23">
        <f t="shared" si="26"/>
        <v>97.010492971688777</v>
      </c>
      <c r="W53" s="23">
        <f t="shared" si="26"/>
        <v>-240.15046525440505</v>
      </c>
    </row>
    <row r="54" spans="1:23">
      <c r="A54" s="4" t="s">
        <v>89</v>
      </c>
      <c r="B54" s="1">
        <v>3246</v>
      </c>
      <c r="C54" s="1">
        <v>3833</v>
      </c>
      <c r="D54" s="23">
        <f t="shared" ref="D54:W54" si="27">(D13-1598)/5.051</f>
        <v>32.864779251633337</v>
      </c>
      <c r="E54" s="23">
        <f t="shared" si="27"/>
        <v>81.76598693328053</v>
      </c>
      <c r="F54" s="23">
        <f t="shared" si="27"/>
        <v>450.80182142150068</v>
      </c>
      <c r="G54" s="23">
        <f t="shared" si="27"/>
        <v>20.787962779647593</v>
      </c>
      <c r="H54" s="23">
        <f t="shared" si="27"/>
        <v>-20.589982181746187</v>
      </c>
      <c r="I54" s="23">
        <f t="shared" si="27"/>
        <v>2.9697089685210849</v>
      </c>
      <c r="J54" s="23">
        <f t="shared" si="27"/>
        <v>-193.22906355177193</v>
      </c>
      <c r="K54" s="23">
        <f t="shared" si="27"/>
        <v>7.9192239160562261</v>
      </c>
      <c r="L54" s="23">
        <f t="shared" si="27"/>
        <v>-67.709364482280733</v>
      </c>
      <c r="M54" s="23">
        <f t="shared" si="27"/>
        <v>7.1273015244506039</v>
      </c>
      <c r="N54" s="23">
        <f t="shared" si="27"/>
        <v>-38.408235992872697</v>
      </c>
      <c r="O54" s="23">
        <f t="shared" si="27"/>
        <v>-44.34765392991487</v>
      </c>
      <c r="P54" s="23">
        <f t="shared" si="27"/>
        <v>148.48544842605423</v>
      </c>
      <c r="Q54" s="23">
        <f t="shared" si="27"/>
        <v>62.759849534745591</v>
      </c>
      <c r="R54" s="23">
        <f t="shared" si="27"/>
        <v>162.34409027915262</v>
      </c>
      <c r="S54" s="23">
        <f t="shared" si="27"/>
        <v>-32.270837457929119</v>
      </c>
      <c r="T54" s="23">
        <f t="shared" si="27"/>
        <v>-93.644822807364875</v>
      </c>
      <c r="U54" s="23">
        <f t="shared" si="27"/>
        <v>17.422292615323698</v>
      </c>
      <c r="V54" s="23">
        <f t="shared" si="27"/>
        <v>392.99148683429024</v>
      </c>
      <c r="W54" s="23">
        <f t="shared" si="27"/>
        <v>5.9394179370421698</v>
      </c>
    </row>
    <row r="55" spans="1:23">
      <c r="A55" s="4" t="s">
        <v>90</v>
      </c>
      <c r="B55" s="1">
        <v>2906</v>
      </c>
      <c r="C55" s="1">
        <v>2303</v>
      </c>
      <c r="D55" s="23">
        <f t="shared" ref="D55:W55" si="28">(D14-1598)/5.051</f>
        <v>69.887151059196199</v>
      </c>
      <c r="E55" s="23">
        <f t="shared" si="28"/>
        <v>13.26470005939418</v>
      </c>
      <c r="F55" s="23">
        <f t="shared" si="28"/>
        <v>-86.319540685012868</v>
      </c>
      <c r="G55" s="23">
        <f t="shared" si="28"/>
        <v>-89.883191447238161</v>
      </c>
      <c r="H55" s="23">
        <f t="shared" si="28"/>
        <v>-46.129479311027517</v>
      </c>
      <c r="I55" s="23">
        <f t="shared" si="28"/>
        <v>106.71154226885764</v>
      </c>
      <c r="J55" s="23">
        <f t="shared" si="28"/>
        <v>-64.93763611166105</v>
      </c>
      <c r="K55" s="23">
        <f t="shared" si="28"/>
        <v>-66.323500296970892</v>
      </c>
      <c r="L55" s="23">
        <f t="shared" si="28"/>
        <v>-67.907345080182139</v>
      </c>
      <c r="M55" s="23">
        <f t="shared" si="28"/>
        <v>-5.1474955454365467</v>
      </c>
      <c r="N55" s="23">
        <f t="shared" si="28"/>
        <v>3.7616313601267075</v>
      </c>
      <c r="O55" s="23">
        <f t="shared" si="28"/>
        <v>-75.826568996238365</v>
      </c>
      <c r="P55" s="23">
        <f t="shared" si="28"/>
        <v>-14.056622450999802</v>
      </c>
      <c r="Q55" s="23">
        <f t="shared" si="28"/>
        <v>32.864779251633337</v>
      </c>
      <c r="R55" s="23">
        <f t="shared" si="28"/>
        <v>-19.600079192239161</v>
      </c>
      <c r="S55" s="23">
        <f t="shared" si="28"/>
        <v>0.39596119580281131</v>
      </c>
      <c r="T55" s="23">
        <f t="shared" si="28"/>
        <v>-63.551771926351215</v>
      </c>
      <c r="U55" s="23">
        <f t="shared" si="28"/>
        <v>-63.155810730548403</v>
      </c>
      <c r="V55" s="23">
        <f t="shared" si="28"/>
        <v>382.89447634131852</v>
      </c>
      <c r="W55" s="23">
        <f t="shared" si="28"/>
        <v>-30.884973272619284</v>
      </c>
    </row>
    <row r="56" spans="1:23">
      <c r="A56" s="4" t="s">
        <v>91</v>
      </c>
      <c r="B56" s="1">
        <v>2211</v>
      </c>
      <c r="C56" s="1">
        <v>2320</v>
      </c>
      <c r="D56" s="23">
        <f t="shared" ref="D56:W56" si="29">(D15-1598)/5.051</f>
        <v>371.411601663037</v>
      </c>
      <c r="E56" s="23">
        <f t="shared" si="29"/>
        <v>39.002177786576915</v>
      </c>
      <c r="F56" s="23">
        <f t="shared" si="29"/>
        <v>-205.70184121956046</v>
      </c>
      <c r="G56" s="23">
        <f t="shared" si="29"/>
        <v>15.640467234211046</v>
      </c>
      <c r="H56" s="23">
        <f t="shared" si="29"/>
        <v>-39.794100178182539</v>
      </c>
      <c r="I56" s="23">
        <f t="shared" si="29"/>
        <v>40.388041971886757</v>
      </c>
      <c r="J56" s="23">
        <f t="shared" si="29"/>
        <v>-199.76242328251831</v>
      </c>
      <c r="K56" s="23">
        <f t="shared" si="29"/>
        <v>9.3050881013660653</v>
      </c>
      <c r="L56" s="23">
        <f t="shared" si="29"/>
        <v>60.18610176202732</v>
      </c>
      <c r="M56" s="23">
        <f t="shared" si="29"/>
        <v>19.600079192239161</v>
      </c>
      <c r="N56" s="23">
        <f t="shared" si="29"/>
        <v>23.757671748168679</v>
      </c>
      <c r="O56" s="23">
        <f t="shared" si="29"/>
        <v>-31.082953870520686</v>
      </c>
      <c r="P56" s="23">
        <f t="shared" si="29"/>
        <v>-55.236586814492178</v>
      </c>
      <c r="Q56" s="23">
        <f t="shared" si="29"/>
        <v>21.579885171253217</v>
      </c>
      <c r="R56" s="23">
        <f t="shared" si="29"/>
        <v>-74.440704810928523</v>
      </c>
      <c r="S56" s="23">
        <f t="shared" si="29"/>
        <v>-26.529400118788359</v>
      </c>
      <c r="T56" s="23">
        <f t="shared" si="29"/>
        <v>-110.86913482478717</v>
      </c>
      <c r="U56" s="23">
        <f t="shared" si="29"/>
        <v>61.373985349435756</v>
      </c>
      <c r="V56" s="23">
        <f t="shared" si="29"/>
        <v>27.915264304098198</v>
      </c>
      <c r="W56" s="23">
        <f t="shared" si="29"/>
        <v>76.816471985745395</v>
      </c>
    </row>
    <row r="57" spans="1:23">
      <c r="A57" s="4" t="s">
        <v>92</v>
      </c>
      <c r="B57" s="1">
        <v>2447</v>
      </c>
      <c r="C57" s="1">
        <v>1823</v>
      </c>
      <c r="D57" s="23">
        <f t="shared" ref="D57:W57" si="30">(D16-1598)/5.051</f>
        <v>123.93585428627993</v>
      </c>
      <c r="E57" s="23">
        <f t="shared" si="30"/>
        <v>98.396357156998604</v>
      </c>
      <c r="F57" s="23">
        <f t="shared" si="30"/>
        <v>-240.74440704810928</v>
      </c>
      <c r="G57" s="23">
        <f t="shared" si="30"/>
        <v>279.35062363888341</v>
      </c>
      <c r="H57" s="23">
        <f t="shared" si="30"/>
        <v>-249.0595921599683</v>
      </c>
      <c r="I57" s="23">
        <f t="shared" si="30"/>
        <v>178.1825381112651</v>
      </c>
      <c r="J57" s="23">
        <f t="shared" si="30"/>
        <v>273.60918629974259</v>
      </c>
      <c r="K57" s="23">
        <f t="shared" si="30"/>
        <v>-140.3682439120966</v>
      </c>
      <c r="L57" s="23">
        <f t="shared" si="30"/>
        <v>-131.06315581073054</v>
      </c>
      <c r="M57" s="23">
        <f t="shared" si="30"/>
        <v>72.262918234013071</v>
      </c>
      <c r="N57" s="23">
        <f t="shared" si="30"/>
        <v>97.604434765392995</v>
      </c>
      <c r="O57" s="23">
        <f t="shared" si="30"/>
        <v>-5.3454761433379527</v>
      </c>
      <c r="P57" s="23">
        <f t="shared" si="30"/>
        <v>-6.731340328647792</v>
      </c>
      <c r="Q57" s="23">
        <f t="shared" si="30"/>
        <v>8.9091269055632551</v>
      </c>
      <c r="R57" s="23">
        <f t="shared" si="30"/>
        <v>86.913482478717086</v>
      </c>
      <c r="S57" s="23">
        <f t="shared" si="30"/>
        <v>-4.7515343496337357</v>
      </c>
      <c r="T57" s="23">
        <f t="shared" si="30"/>
        <v>-5.1474955454365467</v>
      </c>
      <c r="U57" s="23">
        <f t="shared" si="30"/>
        <v>-20.787962779647593</v>
      </c>
      <c r="V57" s="23">
        <f t="shared" si="30"/>
        <v>407.04810928529002</v>
      </c>
      <c r="W57" s="23">
        <f t="shared" si="30"/>
        <v>150.66323500296971</v>
      </c>
    </row>
    <row r="58" spans="1:23">
      <c r="A58" s="4" t="s">
        <v>93</v>
      </c>
      <c r="B58" s="1">
        <v>2735</v>
      </c>
      <c r="C58" s="1">
        <v>2128</v>
      </c>
      <c r="D58" s="23">
        <f t="shared" ref="D58:W58" si="31">(D17-1598)/5.051</f>
        <v>96.020589982181747</v>
      </c>
      <c r="E58" s="23">
        <f t="shared" si="31"/>
        <v>62.957830132646997</v>
      </c>
      <c r="F58" s="23">
        <f t="shared" si="31"/>
        <v>133.43892298554741</v>
      </c>
      <c r="G58" s="23">
        <f t="shared" si="31"/>
        <v>52.662839041773907</v>
      </c>
      <c r="H58" s="23">
        <f t="shared" si="31"/>
        <v>201.34626806572956</v>
      </c>
      <c r="I58" s="23">
        <f t="shared" si="31"/>
        <v>85.923579489210056</v>
      </c>
      <c r="J58" s="23">
        <f t="shared" si="31"/>
        <v>-248.06968917046129</v>
      </c>
      <c r="K58" s="23">
        <f t="shared" si="31"/>
        <v>40.981983765590968</v>
      </c>
      <c r="L58" s="23">
        <f t="shared" si="31"/>
        <v>15.838447832112452</v>
      </c>
      <c r="M58" s="23">
        <f t="shared" si="31"/>
        <v>60.780043555731538</v>
      </c>
      <c r="N58" s="23">
        <f t="shared" si="31"/>
        <v>3.1676895664224904</v>
      </c>
      <c r="O58" s="23">
        <f t="shared" si="31"/>
        <v>58.800237576717478</v>
      </c>
      <c r="P58" s="23">
        <f t="shared" si="31"/>
        <v>108.29538705206889</v>
      </c>
      <c r="Q58" s="23">
        <f t="shared" si="31"/>
        <v>26.529400118788359</v>
      </c>
      <c r="R58" s="23">
        <f t="shared" si="31"/>
        <v>764.40308849732719</v>
      </c>
      <c r="S58" s="23">
        <f t="shared" si="31"/>
        <v>56.028509206097802</v>
      </c>
      <c r="T58" s="23">
        <f t="shared" si="31"/>
        <v>310.43357750940407</v>
      </c>
      <c r="U58" s="23">
        <f t="shared" si="31"/>
        <v>89.289249653533957</v>
      </c>
      <c r="V58" s="23">
        <f t="shared" si="31"/>
        <v>155.81073054840624</v>
      </c>
      <c r="W58" s="23">
        <f t="shared" si="31"/>
        <v>89.685210849336755</v>
      </c>
    </row>
  </sheetData>
  <conditionalFormatting sqref="D2:W1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3:W3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3:W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Rapafusyn</dc:creator>
  <cp:lastModifiedBy>Rui Xie</cp:lastModifiedBy>
  <dcterms:created xsi:type="dcterms:W3CDTF">2024-01-25T18:03:31Z</dcterms:created>
  <dcterms:modified xsi:type="dcterms:W3CDTF">2024-02-15T17:52:28Z</dcterms:modified>
</cp:coreProperties>
</file>